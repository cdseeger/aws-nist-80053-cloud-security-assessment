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x15ac:absPath xmlns:x15ac="http://schemas.microsoft.com/office/spreadsheetml/2010/11/ac" url="https://d.docs.live.net/56176cb339f77f30/GRC Notes/GRC project/"/>
    </mc:Choice>
  </mc:AlternateContent>
  <xr:revisionPtr revIDLastSave="763" documentId="8_{B81FBF9D-A79F-E242-BD93-D454954BCAD9}" xr6:coauthVersionLast="47" xr6:coauthVersionMax="47" xr10:uidLastSave="{77C3A999-8D3D-8F49-B7ED-31255A73F60A}"/>
  <bookViews>
    <workbookView xWindow="0" yWindow="600" windowWidth="28800" windowHeight="16400" xr2:uid="{5776D21F-3CC1-E84E-980B-BC236554E2F2}"/>
  </bookViews>
  <sheets>
    <sheet name="Project_Overview" sheetId="9" r:id="rId1"/>
    <sheet name="Risk_Register" sheetId="5" r:id="rId2"/>
    <sheet name="Control_Assesment" sheetId="6" r:id="rId3"/>
    <sheet name="Control_Lookup_Interface" sheetId="8" r:id="rId4"/>
  </sheets>
  <definedNames>
    <definedName name="_xlnm._FilterDatabase" localSheetId="2" hidden="1">Control_Assesment!$A$5:$K$11</definedName>
    <definedName name="_xlnm._FilterDatabase" localSheetId="1" hidden="1">Risk_Register!$A$1:$N$11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8" l="1" a="1"/>
  <c r="B5" i="8" s="1"/>
  <c r="B2" i="8" a="1"/>
  <c r="B2" i="8" s="1"/>
  <c r="G7" i="5"/>
  <c r="G8" i="5"/>
  <c r="G9" i="5"/>
  <c r="G10" i="5"/>
  <c r="G11" i="5"/>
  <c r="G6"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<sst xmlns="http://schemas.openxmlformats.org/spreadsheetml/2006/main" count="205" uniqueCount="142">
  <si>
    <t>Partially Compliant</t>
  </si>
  <si>
    <t>Not Compliant</t>
  </si>
  <si>
    <t xml:space="preserve">Vulnerability </t>
  </si>
  <si>
    <t>Insider misuse or compromised user account</t>
  </si>
  <si>
    <t xml:space="preserve">Medium </t>
  </si>
  <si>
    <t xml:space="preserve">High </t>
  </si>
  <si>
    <t>Medium</t>
  </si>
  <si>
    <t>AC-6</t>
  </si>
  <si>
    <t>IA-2</t>
  </si>
  <si>
    <t>AU-6</t>
  </si>
  <si>
    <t>CM-2</t>
  </si>
  <si>
    <t>SC-7</t>
  </si>
  <si>
    <t xml:space="preserve">Risk ID </t>
  </si>
  <si>
    <t>R1</t>
  </si>
  <si>
    <t>R4</t>
  </si>
  <si>
    <t>R5</t>
  </si>
  <si>
    <t>R6</t>
  </si>
  <si>
    <t xml:space="preserve"> Risk Statement </t>
  </si>
  <si>
    <t>Threat Source</t>
  </si>
  <si>
    <t>Likelihood (1-5)</t>
  </si>
  <si>
    <t>Impact (1-5)</t>
  </si>
  <si>
    <t>Risk Score</t>
  </si>
  <si>
    <t>Risk Rating</t>
  </si>
  <si>
    <t xml:space="preserve">Control ID </t>
  </si>
  <si>
    <t xml:space="preserve">Control Description </t>
  </si>
  <si>
    <t xml:space="preserve">Control Implementation </t>
  </si>
  <si>
    <t xml:space="preserve">Control Effectiveness </t>
  </si>
  <si>
    <t xml:space="preserve">Residual Risk </t>
  </si>
  <si>
    <t>Recommended Action</t>
  </si>
  <si>
    <t>Control Family</t>
  </si>
  <si>
    <t>Control Effectiveness</t>
  </si>
  <si>
    <t>Identification and Authentication (MFA)</t>
  </si>
  <si>
    <t>Effective</t>
  </si>
  <si>
    <t>Phishing, credential theft, or brute-force attack</t>
  </si>
  <si>
    <t>MFA not enforced for AWS IAM users</t>
  </si>
  <si>
    <t>Require MFA for all AWS IAM users</t>
  </si>
  <si>
    <t>Unauthorized access to AWS environment exposing PII/CUI</t>
  </si>
  <si>
    <t>R2</t>
  </si>
  <si>
    <t>R3</t>
  </si>
  <si>
    <t>Security incidents occurring within the AWS environment may remain undetected for extended periods</t>
  </si>
  <si>
    <t>Malicious activity by an external attacker or insider misuse</t>
  </si>
  <si>
    <t>AWS CloudTrail logs are not regularly reviewed or analyzed</t>
  </si>
  <si>
    <t>Audit Review, Analysis, and Reporting</t>
  </si>
  <si>
    <t>AWS CloudTrail enabled to capture API activity and system events, with centralized log collection for monitoring</t>
  </si>
  <si>
    <t>Partially Effective</t>
  </si>
  <si>
    <t>Establish a documented log monitoring process with scheduled review of AWS CloudTrail logs and automated alerting for suspicious activity</t>
  </si>
  <si>
    <t>Unauthorized access to corporate systems through insecure remote connections</t>
  </si>
  <si>
    <t>Compromised employee device or insecure home network</t>
  </si>
  <si>
    <t>Lack of enforced endpoint security controls and VPN requirements</t>
  </si>
  <si>
    <t xml:space="preserve">Partially Effective </t>
  </si>
  <si>
    <t>Cloud resources may operate with insecure configurations</t>
  </si>
  <si>
    <t>External attacker exploiting cloud misconfigurations</t>
  </si>
  <si>
    <t>No documented baseline configuration standard for AWS systems</t>
  </si>
  <si>
    <t>AWS configurations managed manually without formal baseline standards</t>
  </si>
  <si>
    <t>Develop and implement approved secure baseline configuration standards for AWS resources</t>
  </si>
  <si>
    <t xml:space="preserve">Baseline Configuration </t>
  </si>
  <si>
    <t xml:space="preserve">Not Effective </t>
  </si>
  <si>
    <t>Unauthorized access to cloud resources due to network misconfiguration</t>
  </si>
  <si>
    <t>External attacker scanning cloud infrastructure</t>
  </si>
  <si>
    <t>Security group rules are manually managed without documented standards</t>
  </si>
  <si>
    <t>Boundary Protection</t>
  </si>
  <si>
    <t>AWS Security Groups used to restrict inbound and outbound traffic</t>
  </si>
  <si>
    <t>Establish documented network configuration standards and periodically review security group rules</t>
  </si>
  <si>
    <t>Excessive or unauthorized access to AWS resources may persist without detection</t>
  </si>
  <si>
    <t>No documented periodic access review process for AWS IAM accounts</t>
  </si>
  <si>
    <t>Least Privilege</t>
  </si>
  <si>
    <t>AWS IAM roles and policies used to manage user permissions</t>
  </si>
  <si>
    <t>Implement periodic access reviews to ensure permissions remain aligned with job responsibilities</t>
  </si>
  <si>
    <t>AC-17, IA-2</t>
  </si>
  <si>
    <t>Remote Access; Identification and Authentication (MFA)</t>
  </si>
  <si>
    <t>Enforce VPN access with MFA and endpoint protection requirements for all remote users</t>
  </si>
  <si>
    <t>Remote access to AWS resources is permitted through IAM user authentication; however VPN requirements and endpoint security controls are not formally enforced</t>
  </si>
  <si>
    <t>MFA enforced for privileged AWS IAM users through AWS IAM multi-factor authentication.</t>
  </si>
  <si>
    <t>Compliance Status</t>
  </si>
  <si>
    <t xml:space="preserve">Associatd Risk ID </t>
  </si>
  <si>
    <t>Control Owner</t>
  </si>
  <si>
    <t xml:space="preserve">Evidence Reviewed </t>
  </si>
  <si>
    <t xml:space="preserve">Control Name </t>
  </si>
  <si>
    <t>Control Implementation (Current State)</t>
  </si>
  <si>
    <t>Testing Procedure (Assessment Method)</t>
  </si>
  <si>
    <t>Security / IT</t>
  </si>
  <si>
    <t>Identification and Authentication</t>
  </si>
  <si>
    <t>Multifactor Authentication</t>
  </si>
  <si>
    <t>The organization implements multifactor authentication (MFA) to verify user identity prior to granting access to systems and data.</t>
  </si>
  <si>
    <t>MFA is enforced for privileged AWS IAM users; however, MFA is not required for all user accounts, and standard users authenticate using only a username and password.</t>
  </si>
  <si>
    <t>Reviewed AWS IAM authentication settings to determine whether MFA is enforced across privileged and non-privileged user accounts.</t>
  </si>
  <si>
    <t>AWS IAM MFA configuration settings and user authentication configurations</t>
  </si>
  <si>
    <t>R1, R6</t>
  </si>
  <si>
    <t>Audit and Accountability</t>
  </si>
  <si>
    <t>The organization reviews and analyzes audit logs to identify suspicious activity, security incidents, and policy violations.</t>
  </si>
  <si>
    <t>AWS CloudTrail is enabled to capture API activity and system events; however, logs are not regularly reviewed or analyzed.</t>
  </si>
  <si>
    <t>Reviewed AWS CloudTrail configuration and assessed whether log review procedures are documented and performed.</t>
  </si>
  <si>
    <t>AWS CloudTrail logs and logging configuration settings</t>
  </si>
  <si>
    <t xml:space="preserve">Least Privilege </t>
  </si>
  <si>
    <t>Reviewed AWS IAM roles and permission assignments and assessed whether periodic access reviews are performed.</t>
  </si>
  <si>
    <t xml:space="preserve">Access Control  </t>
  </si>
  <si>
    <t>The organization requires that users and processes are granted only the minimum access rights necessary to perform their authorized tasks.</t>
  </si>
  <si>
    <t>AWS IAM roles and policies are used to manage user permissions; however, formal periodic access reviews are not conducted to ensure permissions remain aligned with job responsibilities.</t>
  </si>
  <si>
    <t>AWS IAM role policies and user permission configurations</t>
  </si>
  <si>
    <t>System and Communications Protection</t>
  </si>
  <si>
    <t>The organization monitors and controls communications at external and internal system boundaries to prevent unauthorized access and protect system resources.</t>
  </si>
  <si>
    <t>AWS Security Groups are used to restrict inbound and outbound network traffic; however, security group rules are manually managed and there is no documented baseline configuration standard governing approved network rule sets.</t>
  </si>
  <si>
    <t>Reviewed security group configurations, evaluated rule sets for consistency, and assessed whether formal network configuration standards exist.</t>
  </si>
  <si>
    <t>AWS Security Group configurations, network rule sets, and absence of documented baseline configuration standards.</t>
  </si>
  <si>
    <t xml:space="preserve">R4 </t>
  </si>
  <si>
    <t>Configuration Management</t>
  </si>
  <si>
    <t>Baseline Configuration</t>
  </si>
  <si>
    <t>The organization establishes and maintains baseline configurations for systems to ensure they operate in a secure and consistent manner.</t>
  </si>
  <si>
    <t>AWS configurations are managed manually; however, there is no documented or formally approved baseline configuration standard for AWS systems.</t>
  </si>
  <si>
    <t>Reviewed system configuration practices and evaluated whether baseline configuration standards are documented and enforced.</t>
  </si>
  <si>
    <t>AWS configuration settings and absence of documented baseline configuration standards.</t>
  </si>
  <si>
    <t xml:space="preserve">R6 </t>
  </si>
  <si>
    <t>Access Control; Identification and Authentication</t>
  </si>
  <si>
    <t>Remote Access; Multifactor Authentication</t>
  </si>
  <si>
    <t>The organization governs the authorization, monitoring, and security of remote access to systems. Controls include secure access methods, restricted access points, and the use of multifactor authentication (MFA) to verify user identity prior to granting access.</t>
  </si>
  <si>
    <t>Remote access to AWS resources is permitted through IAM user authentication; however, VPN requirements and endpoint security controls are not formally enforced.</t>
  </si>
  <si>
    <t>Reviewed remote access configurations and authentication mechanisms; evaluated whether VPN, MFA, and endpoint security controls are formally required and consistently enforced.</t>
  </si>
  <si>
    <t>AWS IAM authentication settings, remote access configurations, and absence of documented VPN and endpoint security enforcement standards.</t>
  </si>
  <si>
    <t>System Risk Register – AWS Cloud Environment (PII/CUI)</t>
  </si>
  <si>
    <r>
      <rPr>
        <b/>
        <sz val="12"/>
        <color theme="1"/>
        <rFont val="Aptos Narrow"/>
        <scheme val="minor"/>
      </rPr>
      <t>System</t>
    </r>
    <r>
      <rPr>
        <sz val="12"/>
        <color theme="1"/>
        <rFont val="Aptos Narrow"/>
        <scheme val="minor"/>
      </rPr>
      <t>: Acme Federal Services</t>
    </r>
  </si>
  <si>
    <r>
      <rPr>
        <b/>
        <sz val="12"/>
        <color theme="1"/>
        <rFont val="Aptos Narrow"/>
        <scheme val="minor"/>
      </rPr>
      <t>Environment</t>
    </r>
    <r>
      <rPr>
        <sz val="12"/>
        <color theme="1"/>
        <rFont val="Aptos Narrow"/>
        <scheme val="minor"/>
      </rPr>
      <t>: Amazon Web Services (AWS)</t>
    </r>
  </si>
  <si>
    <r>
      <rPr>
        <b/>
        <sz val="12"/>
        <color theme="1"/>
        <rFont val="Aptos Narrow"/>
        <scheme val="minor"/>
      </rPr>
      <t>Data Classification</t>
    </r>
    <r>
      <rPr>
        <sz val="12"/>
        <color theme="1"/>
        <rFont val="Aptos Narrow"/>
        <scheme val="minor"/>
      </rPr>
      <t>: Personally Identifiable Information (PII) and Controlled Unclassified Information (CUI)</t>
    </r>
  </si>
  <si>
    <t>NIST SP 800-53 Control Assessment Results</t>
  </si>
  <si>
    <r>
      <rPr>
        <b/>
        <sz val="12"/>
        <color theme="1"/>
        <rFont val="Aptos Narrow"/>
        <scheme val="minor"/>
      </rPr>
      <t>System</t>
    </r>
    <r>
      <rPr>
        <sz val="12"/>
        <color theme="1"/>
        <rFont val="Aptos Narrow"/>
        <family val="2"/>
        <scheme val="minor"/>
      </rPr>
      <t>: Acme Federal Services</t>
    </r>
  </si>
  <si>
    <r>
      <rPr>
        <b/>
        <sz val="12"/>
        <color theme="1"/>
        <rFont val="Aptos Narrow"/>
        <scheme val="minor"/>
      </rPr>
      <t>Environment</t>
    </r>
    <r>
      <rPr>
        <sz val="12"/>
        <color theme="1"/>
        <rFont val="Aptos Narrow"/>
        <family val="2"/>
        <scheme val="minor"/>
      </rPr>
      <t>: Amazon Web Services (AWS)</t>
    </r>
  </si>
  <si>
    <r>
      <rPr>
        <b/>
        <sz val="12"/>
        <color theme="1"/>
        <rFont val="Aptos Narrow"/>
        <scheme val="minor"/>
      </rPr>
      <t>Assessment Scope</t>
    </r>
    <r>
      <rPr>
        <sz val="12"/>
        <color theme="1"/>
        <rFont val="Aptos Narrow"/>
        <family val="2"/>
        <scheme val="minor"/>
      </rPr>
      <t>: Selected NIST SP 800-53 Controls (IA-2, AU-6, AC-6, SC-7, CM-2, AC-17)</t>
    </r>
  </si>
  <si>
    <t>AC-17</t>
  </si>
  <si>
    <t>Project Overview – AWS GRC Risk and Control Assessment</t>
  </si>
  <si>
    <t>This project presents a Governance, Risk, and Compliance (GRC) assessment of a cloud-based system operated by Acme Federal Services within Amazon Web Services (AWS). The system processes sensitive data, including Personally Identifiable Information (PII) and Controlled Unclassified Information (CUI), and is evaluated against selected controls from NIST SP 800-53.</t>
  </si>
  <si>
    <t>Project Summary:</t>
  </si>
  <si>
    <t>Objective:</t>
  </si>
  <si>
    <t>The objective of this assessment is to identify key security risks within the AWS environment, evaluate the effectiveness of selected NIST SP 800-53 controls, and provide actionable recommendations to improve the organization’s security posture.</t>
  </si>
  <si>
    <t xml:space="preserve">Scope: </t>
  </si>
  <si>
    <t>This assessment focuses on a subset of NIST SP 800-53 controls relevant to cloud security, access management, monitoring, and configuration management. The following controls were evaluated:
IA-2 — Identification and Authentication (Multifactor Authentication)
AU-6 — Audit Review, Analysis, and Reporting
AC-6 — Least Privilege
SC-7 — Boundary Protection
CM-2 — Baseline Configuration
AC-17 — Remote Access</t>
  </si>
  <si>
    <t xml:space="preserve">Methodology: </t>
  </si>
  <si>
    <t>The assessment was conducted by reviewing the current implementation of security controls within the AWS environment, identifying gaps in control effectiveness, and mapping those gaps to associated risks. Each risk was evaluated based on likelihood and impact, and corresponding recommendations were developed to mitigate identified weaknesses.</t>
  </si>
  <si>
    <t>Deliverables:</t>
  </si>
  <si>
    <t>The following deliverables are included in this workbook:
- Risk Register
- NIST SP 800-53 Control Assessment Results
- Executive Summary</t>
  </si>
  <si>
    <t>Summary:</t>
  </si>
  <si>
    <t>The assessment identified several high-risk areas, including incomplete enforcement of multifactor authentication, insufficient log monitoring practices, lack of periodic access reviews, and absence of formally documented configuration standards. These gaps increase the likelihood of unauthorized access, delayed detection of security incidents, and potential misconfiguration of cloud resources.</t>
  </si>
  <si>
    <t>Select Risk ID ↓</t>
  </si>
  <si>
    <t>Select Control ID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</si>
</sst>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sz val="12"/>
      <color theme="1"/>
      <name val="Aptos Narrow"/>
      <scheme val="minor"/>
    </font>
    <font>
      <b/>
      <sz val="12"/>
      <color theme="1"/>
      <name val="Aptos Narrow"/>
      <scheme val="minor"/>
    </font>
    <font>
      <sz val="12"/>
      <color rgb="FF000000"/>
      <name val="Aptos Narrow"/>
      <scheme val="minor"/>
    </font>
    <font>
      <b/>
      <sz val="14"/>
      <color theme="1"/>
      <name val="Aptos Narrow"/>
      <scheme val="minor"/>
    </font>
    <font>
      <b/>
      <sz val="12"/>
      <color rgb="FF000000"/>
      <name val="Aptos Narrow"/>
      <scheme val="minor"/>
    </font>
    <font>
      <sz val="12"/>
      <name val="Aptos Narrow"/>
      <family val="2"/>
      <scheme val="minor"/>
    </font>
    <font>
      <sz val="14"/>
      <color theme="1"/>
      <name val="Aptos Narrow"/>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1">
    <xf numFmtId="0" fontId="0" fillId="0" borderId="0"/>
  </cellStyleXfs>
  <cellXfs count="23">
    <xf numFmtId="0" fontId="0" fillId="0" borderId="0" xfId="0"/>
    <xf numFmtId="0" fontId="1" fillId="0" borderId="0" xfId="0" applyFont="1"/>
    <xf numFmtId="0" fontId="1" fillId="0" borderId="0" xfId="0" applyFont="1" applyAlignment="1">
      <alignment horizontal="center" vertical="center" wrapText="1"/>
    </xf>
    <xf numFmtId="0" fontId="1" fillId="0" borderId="0" xfId="0" applyFont="1" applyAlignment="1">
      <alignment wrapText="1"/>
    </xf>
    <xf numFmtId="0" fontId="3" fillId="0" borderId="0" xfId="0" applyFont="1" applyAlignment="1">
      <alignment horizontal="center" vertical="center" wrapText="1"/>
    </xf>
    <xf numFmtId="0" fontId="2" fillId="0" borderId="0" xfId="0" applyFont="1" applyAlignment="1">
      <alignment horizontal="center"/>
    </xf>
    <xf numFmtId="0" fontId="0" fillId="0" borderId="0" xfId="0" applyAlignment="1">
      <alignment horizontal="center" vertical="center"/>
    </xf>
    <xf numFmtId="0" fontId="0" fillId="0" borderId="0" xfId="0" applyAlignment="1">
      <alignment horizontal="center" vertical="center" wrapText="1"/>
    </xf>
    <xf numFmtId="0" fontId="6" fillId="0" borderId="0" xfId="0" applyFont="1" applyAlignment="1">
      <alignment horizontal="center" vertical="center" wrapText="1"/>
    </xf>
    <xf numFmtId="0" fontId="7" fillId="0" borderId="0" xfId="0" applyFont="1"/>
    <xf numFmtId="0" fontId="5" fillId="0" borderId="0" xfId="0" applyFont="1" applyAlignment="1">
      <alignment horizontal="center"/>
    </xf>
    <xf numFmtId="0" fontId="0" fillId="0" borderId="0" xfId="0" applyAlignment="1" applyProtection="1">
      <alignment horizontal="center" vertical="center" wrapText="1"/>
      <protection locked="0"/>
    </xf>
    <xf numFmtId="0" fontId="1" fillId="0" borderId="0" xfId="0" applyFont="1" applyAlignment="1">
      <alignment horizontal="left"/>
    </xf>
    <xf numFmtId="0" fontId="4" fillId="2" borderId="0" xfId="0" applyFont="1" applyFill="1" applyAlignment="1">
      <alignment horizontal="center"/>
    </xf>
    <xf numFmtId="0" fontId="1" fillId="0" borderId="0" xfId="0" applyFont="1"/>
    <xf numFmtId="0" fontId="0" fillId="0" borderId="0" xfId="0" applyAlignment="1"/>
    <xf numFmtId="0" fontId="0" fillId="0" borderId="0" xfId="0" applyAlignment="1">
      <alignment horizontal="left" vertical="top" wrapText="1"/>
    </xf>
    <xf numFmtId="0" fontId="2" fillId="0" borderId="0" xfId="0" applyFont="1" applyAlignment="1"/>
    <xf numFmtId="0" fontId="2" fillId="0" borderId="0" xfId="0" applyFont="1"/>
    <xf numFmtId="0" fontId="0" fillId="0" borderId="0" xfId="0" applyAlignment="1">
      <alignment horizontal="left" vertical="top" wrapText="1"/>
    </xf>
    <xf numFmtId="0" fontId="4" fillId="2" borderId="0" xfId="0" applyFont="1" applyFill="1" applyAlignment="1">
      <alignment horizontal="center" vertical="center"/>
    </xf>
    <xf numFmtId="0" fontId="5" fillId="2" borderId="0" xfId="0" applyFont="1" applyFill="1" applyAlignment="1">
      <alignment horizontal="center"/>
    </xf>
    <xf numFmtId="0" fontId="2" fillId="2"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0</xdr:col>
      <xdr:colOff>284777</xdr:colOff>
      <xdr:row>11</xdr:row>
      <xdr:rowOff>114540</xdr:rowOff>
    </xdr:from>
    <xdr:to>
      <xdr:col>3</xdr:col>
      <xdr:colOff>241300</xdr:colOff>
      <xdr:row>41</xdr:row>
      <xdr:rowOff>76200</xdr:rowOff>
    </xdr:to>
    <xdr:sp macro="" textlink="">
      <xdr:nvSpPr>
        <xdr:cNvPr id="2" name="TextBox 1">
          <a:extLst>
            <a:ext uri="{FF2B5EF4-FFF2-40B4-BE49-F238E27FC236}">
              <a16:creationId xmlns:a16="http://schemas.microsoft.com/office/drawing/2014/main" id="{8A1CC77A-735F-3122-3850-0FBDE0F41529}"/>
            </a:ext>
          </a:extLst>
        </xdr:cNvPr>
        <xdr:cNvSpPr txBox="1"/>
      </xdr:nvSpPr>
      <xdr:spPr>
        <a:xfrm>
          <a:off x="284777" y="9055340"/>
          <a:ext cx="3588723" cy="605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t>Executive Summary</a:t>
          </a:r>
          <a:endParaRPr lang="en-US" sz="1200"/>
        </a:p>
        <a:p>
          <a:r>
            <a:rPr lang="en-US"/>
            <a:t>This risk assessment was conducted to evaluate the security posture of Acme Federal Services’ Amazon Web Services (AWS) environment, which stores and processes sensitive organizational data including Personally Identifiable Information (PII) and Controlled Unclassified Information (CUI).</a:t>
          </a:r>
        </a:p>
        <a:p>
          <a:endParaRPr lang="en-US"/>
        </a:p>
        <a:p>
          <a:r>
            <a:rPr lang="en-US"/>
            <a:t>The assessment identified several high-impact risks associated with identity and access management, monitoring, and configuration management within the cloud environment. The most significant risk relates to incomplete enforcement of multi-factor authentication (MFA) across AWS Identity and Access Management (IAM) users. Without consistent MFA protection, compromised credentials could allow unauthorized actors to gain access to the AWS environment and potentially expose sensitive organizational data.</a:t>
          </a:r>
        </a:p>
        <a:p>
          <a:endParaRPr lang="en-US"/>
        </a:p>
        <a:p>
          <a:r>
            <a:rPr lang="en-US"/>
            <a:t>Additional risks include insufficient monitoring and review of AWS CloudTrail logs, lack of periodic access reviews for user accounts, and the absence of formally documented secure configuration baselines for AWS resources. These weaknesses increase the likelihood that malicious activity, unauthorized access, or configuration errors could occur or remain undetected.</a:t>
          </a:r>
        </a:p>
        <a:p>
          <a:endParaRPr lang="en-US"/>
        </a:p>
        <a:p>
          <a:r>
            <a:rPr lang="en-US"/>
            <a:t>To reduce these risks, Acme Federal Services should strengthen authentication controls, enhance log monitoring and alerting capabilities, implement formal access review procedures, and establish approved configuration baselines for AWS systems. Addressing these gaps will significantly improve the organization’s cloud security posture and reduce the risk of compromise or unauthorized access to sensitive data.</a:t>
          </a:r>
        </a:p>
        <a:p>
          <a:endParaRPr lang="en-US" sz="1100"/>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7E44A-9B88-A945-874B-5973A0DD3108}">
  <dimension ref="A1:F19"/>
  <sheetViews>
    <sheetView tabSelected="1" zoomScale="113" zoomScaleNormal="113" workbookViewId="0">
      <selection sqref="A1:F2"/>
    </sheetView>
  </sheetViews>
  <sheetFormatPr baseColWidth="10" defaultRowHeight="16" x14ac:dyDescent="0.2"/>
  <cols>
    <col min="1" max="1" width="11.83203125" customWidth="1"/>
  </cols>
  <sheetData>
    <row r="1" spans="1:6" ht="19" customHeight="1" x14ac:dyDescent="0.2">
      <c r="A1" s="20" t="s">
        <v>127</v>
      </c>
      <c r="B1" s="20"/>
      <c r="C1" s="20"/>
      <c r="D1" s="20"/>
      <c r="E1" s="20"/>
      <c r="F1" s="20"/>
    </row>
    <row r="2" spans="1:6" ht="16" customHeight="1" x14ac:dyDescent="0.2">
      <c r="A2" s="20"/>
      <c r="B2" s="20"/>
      <c r="C2" s="20"/>
      <c r="D2" s="20"/>
      <c r="E2" s="20"/>
      <c r="F2" s="20"/>
    </row>
    <row r="3" spans="1:6" x14ac:dyDescent="0.2">
      <c r="A3" s="17" t="s">
        <v>129</v>
      </c>
      <c r="B3" s="15"/>
    </row>
    <row r="4" spans="1:6" ht="178" customHeight="1" x14ac:dyDescent="0.2">
      <c r="A4" s="16" t="s">
        <v>128</v>
      </c>
      <c r="B4" s="16"/>
      <c r="C4" s="16"/>
    </row>
    <row r="6" spans="1:6" x14ac:dyDescent="0.2">
      <c r="A6" s="18" t="s">
        <v>130</v>
      </c>
    </row>
    <row r="7" spans="1:6" ht="116" customHeight="1" x14ac:dyDescent="0.2">
      <c r="A7" s="16" t="s">
        <v>131</v>
      </c>
      <c r="B7" s="16"/>
      <c r="C7" s="16"/>
    </row>
    <row r="9" spans="1:6" x14ac:dyDescent="0.2">
      <c r="A9" s="18" t="s">
        <v>132</v>
      </c>
    </row>
    <row r="10" spans="1:6" ht="322" customHeight="1" x14ac:dyDescent="0.2">
      <c r="A10" s="16" t="s">
        <v>133</v>
      </c>
      <c r="B10" s="16"/>
      <c r="C10" s="16"/>
    </row>
    <row r="12" spans="1:6" x14ac:dyDescent="0.2">
      <c r="A12" s="18" t="s">
        <v>134</v>
      </c>
    </row>
    <row r="13" spans="1:6" ht="167" customHeight="1" x14ac:dyDescent="0.2">
      <c r="A13" s="16" t="s">
        <v>135</v>
      </c>
      <c r="B13" s="16"/>
      <c r="C13" s="16"/>
    </row>
    <row r="15" spans="1:6" x14ac:dyDescent="0.2">
      <c r="A15" s="18" t="s">
        <v>136</v>
      </c>
    </row>
    <row r="16" spans="1:6" ht="257" customHeight="1" x14ac:dyDescent="0.2">
      <c r="A16" s="19" t="s">
        <v>137</v>
      </c>
    </row>
    <row r="18" spans="1:3" x14ac:dyDescent="0.2">
      <c r="A18" s="18" t="s">
        <v>138</v>
      </c>
    </row>
    <row r="19" spans="1:3" ht="180" customHeight="1" x14ac:dyDescent="0.2">
      <c r="A19" s="16" t="s">
        <v>139</v>
      </c>
      <c r="B19" s="16"/>
      <c r="C19" s="16"/>
    </row>
  </sheetData>
  <sheetProtection algorithmName="SHA-512" hashValue="OKnX8vWvmHcLFAPxL5na/1zT6PKh70h+nqext/60jFScHGtVFGgZkNooz8LeIqwlMXGWL+bsBAmC4++5ecbFOA==" saltValue="f3eTYEi/29XylSiFqhyBig==" spinCount="100000" sheet="1" objects="1" scenarios="1"/>
  <mergeCells count="6">
    <mergeCell ref="A13:C13"/>
    <mergeCell ref="A19:C19"/>
    <mergeCell ref="A4:C4"/>
    <mergeCell ref="A1:F2"/>
    <mergeCell ref="A7:C7"/>
    <mergeCell ref="A10:C1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10A7F-4D21-994D-B87D-D2F4648AA632}">
  <dimension ref="A1:N13"/>
  <sheetViews>
    <sheetView zoomScale="110" zoomScaleNormal="110" workbookViewId="0">
      <pane ySplit="5" topLeftCell="A6" activePane="bottomLeft" state="frozen"/>
      <selection pane="bottomLeft" sqref="A1:D1"/>
    </sheetView>
  </sheetViews>
  <sheetFormatPr baseColWidth="10" defaultRowHeight="16" x14ac:dyDescent="0.2"/>
  <cols>
    <col min="1" max="1" width="8.1640625" style="1" bestFit="1" customWidth="1"/>
    <col min="2" max="2" width="22.1640625" style="1" customWidth="1"/>
    <col min="3" max="3" width="17.33203125" style="1" customWidth="1"/>
    <col min="4" max="4" width="13.5" style="1" bestFit="1" customWidth="1"/>
    <col min="5" max="5" width="15.1640625" style="1" bestFit="1" customWidth="1"/>
    <col min="6" max="6" width="11.33203125" style="1" bestFit="1" customWidth="1"/>
    <col min="7" max="7" width="10.6640625" style="1" bestFit="1" customWidth="1"/>
    <col min="8" max="8" width="11.5" style="1" bestFit="1" customWidth="1"/>
    <col min="9" max="9" width="10.5" style="1" bestFit="1" customWidth="1"/>
    <col min="10" max="10" width="33.5" style="1" bestFit="1" customWidth="1"/>
    <col min="11" max="11" width="36.6640625" style="1" bestFit="1" customWidth="1"/>
    <col min="12" max="12" width="20.6640625" style="1" bestFit="1" customWidth="1"/>
    <col min="13" max="13" width="14.1640625" style="1" bestFit="1" customWidth="1"/>
    <col min="14" max="14" width="20.83203125" style="1" bestFit="1" customWidth="1"/>
    <col min="15" max="16384" width="10.83203125" style="1"/>
  </cols>
  <sheetData>
    <row r="1" spans="1:14" s="9" customFormat="1" ht="19" x14ac:dyDescent="0.25">
      <c r="A1" s="13" t="s">
        <v>118</v>
      </c>
      <c r="B1" s="13"/>
      <c r="C1" s="13"/>
      <c r="D1" s="13"/>
      <c r="J1"/>
    </row>
    <row r="2" spans="1:14" s="9" customFormat="1" ht="19" x14ac:dyDescent="0.25">
      <c r="A2" s="14" t="s">
        <v>119</v>
      </c>
      <c r="B2" s="14"/>
      <c r="C2" s="1"/>
      <c r="D2" s="1"/>
      <c r="E2" s="1"/>
      <c r="F2" s="1"/>
      <c r="J2"/>
    </row>
    <row r="3" spans="1:14" s="9" customFormat="1" ht="19" x14ac:dyDescent="0.25">
      <c r="A3" s="12" t="s">
        <v>120</v>
      </c>
      <c r="B3" s="12"/>
      <c r="C3" s="12"/>
      <c r="D3" s="1"/>
      <c r="E3" s="1"/>
      <c r="F3" s="1"/>
      <c r="J3"/>
    </row>
    <row r="4" spans="1:14" s="9" customFormat="1" ht="19" x14ac:dyDescent="0.25">
      <c r="A4" s="12" t="s">
        <v>121</v>
      </c>
      <c r="B4" s="12"/>
      <c r="C4" s="12"/>
      <c r="D4" s="12"/>
      <c r="E4" s="12"/>
      <c r="F4" s="12"/>
    </row>
    <row r="5" spans="1:14" s="5" customFormat="1" x14ac:dyDescent="0.2">
      <c r="A5" s="5" t="s">
        <v>12</v>
      </c>
      <c r="B5" s="5" t="s">
        <v>17</v>
      </c>
      <c r="C5" s="5" t="s">
        <v>18</v>
      </c>
      <c r="D5" s="5" t="s">
        <v>2</v>
      </c>
      <c r="E5" s="5" t="s">
        <v>19</v>
      </c>
      <c r="F5" s="5" t="s">
        <v>20</v>
      </c>
      <c r="G5" s="5" t="s">
        <v>21</v>
      </c>
      <c r="H5" s="5" t="s">
        <v>22</v>
      </c>
      <c r="I5" s="5" t="s">
        <v>23</v>
      </c>
      <c r="J5" s="5" t="s">
        <v>24</v>
      </c>
      <c r="K5" s="5" t="s">
        <v>25</v>
      </c>
      <c r="L5" s="5" t="s">
        <v>26</v>
      </c>
      <c r="M5" s="5" t="s">
        <v>27</v>
      </c>
      <c r="N5" s="5" t="s">
        <v>28</v>
      </c>
    </row>
    <row r="6" spans="1:14" s="2" customFormat="1" ht="51" x14ac:dyDescent="0.2">
      <c r="A6" s="2" t="s">
        <v>13</v>
      </c>
      <c r="B6" s="2" t="s">
        <v>36</v>
      </c>
      <c r="C6" s="2" t="s">
        <v>33</v>
      </c>
      <c r="D6" s="2" t="s">
        <v>34</v>
      </c>
      <c r="E6" s="2">
        <v>3</v>
      </c>
      <c r="F6" s="2">
        <v>5</v>
      </c>
      <c r="G6" s="2">
        <f>E6*F6</f>
        <v>15</v>
      </c>
      <c r="H6" s="2" t="s">
        <v>5</v>
      </c>
      <c r="I6" s="2" t="s">
        <v>8</v>
      </c>
      <c r="J6" s="2" t="s">
        <v>31</v>
      </c>
      <c r="K6" s="2" t="s">
        <v>72</v>
      </c>
      <c r="L6" s="2" t="s">
        <v>32</v>
      </c>
      <c r="M6" s="2" t="s">
        <v>4</v>
      </c>
      <c r="N6" s="2" t="s">
        <v>35</v>
      </c>
    </row>
    <row r="7" spans="1:14" s="3" customFormat="1" ht="102" x14ac:dyDescent="0.2">
      <c r="A7" s="2" t="s">
        <v>37</v>
      </c>
      <c r="B7" s="2" t="s">
        <v>39</v>
      </c>
      <c r="C7" s="2" t="s">
        <v>40</v>
      </c>
      <c r="D7" s="2" t="s">
        <v>41</v>
      </c>
      <c r="E7" s="2">
        <v>3</v>
      </c>
      <c r="F7" s="2">
        <v>5</v>
      </c>
      <c r="G7" s="2">
        <f t="shared" ref="G7:G11" si="0">E7*F7</f>
        <v>15</v>
      </c>
      <c r="H7" s="2" t="s">
        <v>5</v>
      </c>
      <c r="I7" s="2" t="s">
        <v>9</v>
      </c>
      <c r="J7" s="2" t="s">
        <v>42</v>
      </c>
      <c r="K7" s="2" t="s">
        <v>43</v>
      </c>
      <c r="L7" s="2" t="s">
        <v>44</v>
      </c>
      <c r="M7" s="2" t="s">
        <v>4</v>
      </c>
      <c r="N7" s="2" t="s">
        <v>45</v>
      </c>
    </row>
    <row r="8" spans="1:14" s="2" customFormat="1" ht="119" x14ac:dyDescent="0.2">
      <c r="A8" s="2" t="s">
        <v>38</v>
      </c>
      <c r="B8" s="2" t="s">
        <v>63</v>
      </c>
      <c r="C8" s="2" t="s">
        <v>3</v>
      </c>
      <c r="D8" s="4" t="s">
        <v>64</v>
      </c>
      <c r="E8" s="2">
        <v>3</v>
      </c>
      <c r="F8" s="2">
        <v>5</v>
      </c>
      <c r="G8" s="2">
        <f t="shared" si="0"/>
        <v>15</v>
      </c>
      <c r="H8" s="2" t="s">
        <v>5</v>
      </c>
      <c r="I8" s="2" t="s">
        <v>7</v>
      </c>
      <c r="J8" s="2" t="s">
        <v>65</v>
      </c>
      <c r="K8" s="2" t="s">
        <v>66</v>
      </c>
      <c r="L8" s="2" t="s">
        <v>44</v>
      </c>
      <c r="M8" s="2" t="s">
        <v>6</v>
      </c>
      <c r="N8" s="2" t="s">
        <v>67</v>
      </c>
    </row>
    <row r="9" spans="1:14" s="2" customFormat="1" ht="119" x14ac:dyDescent="0.2">
      <c r="A9" s="2" t="s">
        <v>14</v>
      </c>
      <c r="B9" s="2" t="s">
        <v>57</v>
      </c>
      <c r="C9" s="2" t="s">
        <v>58</v>
      </c>
      <c r="D9" s="2" t="s">
        <v>59</v>
      </c>
      <c r="E9" s="2">
        <v>3</v>
      </c>
      <c r="F9" s="2">
        <v>5</v>
      </c>
      <c r="G9" s="2">
        <f t="shared" si="0"/>
        <v>15</v>
      </c>
      <c r="H9" s="2" t="s">
        <v>5</v>
      </c>
      <c r="I9" s="2" t="s">
        <v>11</v>
      </c>
      <c r="J9" s="2" t="s">
        <v>60</v>
      </c>
      <c r="K9" s="2" t="s">
        <v>61</v>
      </c>
      <c r="L9" s="2" t="s">
        <v>44</v>
      </c>
      <c r="M9" s="2" t="s">
        <v>6</v>
      </c>
      <c r="N9" s="2" t="s">
        <v>62</v>
      </c>
    </row>
    <row r="10" spans="1:14" s="2" customFormat="1" ht="102" x14ac:dyDescent="0.2">
      <c r="A10" s="2" t="s">
        <v>15</v>
      </c>
      <c r="B10" s="2" t="s">
        <v>50</v>
      </c>
      <c r="C10" s="2" t="s">
        <v>51</v>
      </c>
      <c r="D10" s="2" t="s">
        <v>52</v>
      </c>
      <c r="E10" s="2">
        <v>3</v>
      </c>
      <c r="F10" s="2">
        <v>5</v>
      </c>
      <c r="G10" s="2">
        <f t="shared" si="0"/>
        <v>15</v>
      </c>
      <c r="H10" s="2" t="s">
        <v>5</v>
      </c>
      <c r="I10" s="2" t="s">
        <v>10</v>
      </c>
      <c r="J10" s="2" t="s">
        <v>55</v>
      </c>
      <c r="K10" s="2" t="s">
        <v>53</v>
      </c>
      <c r="L10" s="2" t="s">
        <v>56</v>
      </c>
      <c r="M10" s="2" t="s">
        <v>5</v>
      </c>
      <c r="N10" s="2" t="s">
        <v>54</v>
      </c>
    </row>
    <row r="11" spans="1:14" s="2" customFormat="1" ht="119" x14ac:dyDescent="0.2">
      <c r="A11" s="2" t="s">
        <v>16</v>
      </c>
      <c r="B11" s="2" t="s">
        <v>46</v>
      </c>
      <c r="C11" s="2" t="s">
        <v>47</v>
      </c>
      <c r="D11" s="2" t="s">
        <v>48</v>
      </c>
      <c r="E11" s="2">
        <v>3</v>
      </c>
      <c r="F11" s="2">
        <v>5</v>
      </c>
      <c r="G11" s="2">
        <f t="shared" si="0"/>
        <v>15</v>
      </c>
      <c r="H11" s="2" t="s">
        <v>5</v>
      </c>
      <c r="I11" s="2" t="s">
        <v>68</v>
      </c>
      <c r="J11" s="2" t="s">
        <v>69</v>
      </c>
      <c r="K11" s="2" t="s">
        <v>71</v>
      </c>
      <c r="L11" s="2" t="s">
        <v>49</v>
      </c>
      <c r="M11" s="2" t="s">
        <v>6</v>
      </c>
      <c r="N11" s="2" t="s">
        <v>70</v>
      </c>
    </row>
    <row r="13" spans="1:14" x14ac:dyDescent="0.2">
      <c r="F13"/>
    </row>
  </sheetData>
  <sheetProtection algorithmName="SHA-512" hashValue="wo51oOrJbPqUxK9J9/p6ITKG3He+JCJJhr07c0yAb60X3+Zf1kIqnHPVUUAQ5/x9Y3UO4qV9kCg2yxV6uJepNQ==" saltValue="toukhxTBNykDm2wb/WVhLA==" spinCount="100000" sheet="1" objects="1" scenarios="1"/>
  <mergeCells count="4">
    <mergeCell ref="A4:F4"/>
    <mergeCell ref="A1:D1"/>
    <mergeCell ref="A2:B2"/>
    <mergeCell ref="A3:C3"/>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4B3CC-FDC0-A94A-A7FB-2A5391B148FD}">
  <dimension ref="A1:K11"/>
  <sheetViews>
    <sheetView zoomScaleNormal="100" workbookViewId="0">
      <pane ySplit="5" topLeftCell="A6" activePane="bottomLeft" state="frozen"/>
      <selection pane="bottomLeft" sqref="A1:D1"/>
    </sheetView>
  </sheetViews>
  <sheetFormatPr baseColWidth="10" defaultRowHeight="16" x14ac:dyDescent="0.2"/>
  <cols>
    <col min="1" max="1" width="10.1640625" bestFit="1" customWidth="1"/>
    <col min="2" max="3" width="13.1640625" customWidth="1"/>
    <col min="4" max="4" width="30.1640625" bestFit="1" customWidth="1"/>
    <col min="5" max="5" width="37.83203125" bestFit="1" customWidth="1"/>
    <col min="6" max="6" width="35.33203125" bestFit="1" customWidth="1"/>
    <col min="7" max="7" width="17.1640625" bestFit="1" customWidth="1"/>
    <col min="8" max="8" width="19.1640625" bestFit="1" customWidth="1"/>
    <col min="9" max="9" width="17" bestFit="1" customWidth="1"/>
    <col min="10" max="10" width="16" bestFit="1" customWidth="1"/>
    <col min="11" max="11" width="13" bestFit="1" customWidth="1"/>
  </cols>
  <sheetData>
    <row r="1" spans="1:11" ht="19" x14ac:dyDescent="0.25">
      <c r="A1" s="13" t="s">
        <v>122</v>
      </c>
      <c r="B1" s="13"/>
      <c r="C1" s="13"/>
      <c r="D1" s="13"/>
    </row>
    <row r="2" spans="1:11" x14ac:dyDescent="0.2">
      <c r="A2" s="12" t="s">
        <v>123</v>
      </c>
      <c r="B2" s="12"/>
      <c r="C2" s="12"/>
    </row>
    <row r="3" spans="1:11" x14ac:dyDescent="0.2">
      <c r="A3" s="1" t="s">
        <v>124</v>
      </c>
    </row>
    <row r="4" spans="1:11" x14ac:dyDescent="0.2">
      <c r="A4" s="1" t="s">
        <v>125</v>
      </c>
    </row>
    <row r="5" spans="1:11" s="5" customFormat="1" x14ac:dyDescent="0.2">
      <c r="A5" s="5" t="s">
        <v>23</v>
      </c>
      <c r="B5" s="5" t="s">
        <v>29</v>
      </c>
      <c r="C5" s="5" t="s">
        <v>77</v>
      </c>
      <c r="D5" s="5" t="s">
        <v>24</v>
      </c>
      <c r="E5" s="5" t="s">
        <v>78</v>
      </c>
      <c r="F5" s="5" t="s">
        <v>79</v>
      </c>
      <c r="G5" s="5" t="s">
        <v>76</v>
      </c>
      <c r="H5" s="5" t="s">
        <v>30</v>
      </c>
      <c r="I5" s="5" t="s">
        <v>73</v>
      </c>
      <c r="J5" s="5" t="s">
        <v>74</v>
      </c>
      <c r="K5" s="5" t="s">
        <v>75</v>
      </c>
    </row>
    <row r="6" spans="1:11" s="7" customFormat="1" ht="85" x14ac:dyDescent="0.2">
      <c r="A6" s="6" t="s">
        <v>8</v>
      </c>
      <c r="B6" s="7" t="s">
        <v>81</v>
      </c>
      <c r="C6" s="7" t="s">
        <v>82</v>
      </c>
      <c r="D6" s="7" t="s">
        <v>83</v>
      </c>
      <c r="E6" s="7" t="s">
        <v>84</v>
      </c>
      <c r="F6" s="7" t="s">
        <v>85</v>
      </c>
      <c r="G6" s="7" t="s">
        <v>86</v>
      </c>
      <c r="H6" s="7" t="s">
        <v>32</v>
      </c>
      <c r="I6" s="7" t="s">
        <v>0</v>
      </c>
      <c r="J6" s="7" t="s">
        <v>87</v>
      </c>
      <c r="K6" s="7" t="s">
        <v>80</v>
      </c>
    </row>
    <row r="7" spans="1:11" s="7" customFormat="1" ht="68" x14ac:dyDescent="0.2">
      <c r="A7" s="7" t="s">
        <v>9</v>
      </c>
      <c r="B7" s="7" t="s">
        <v>88</v>
      </c>
      <c r="C7" s="7" t="s">
        <v>42</v>
      </c>
      <c r="D7" s="7" t="s">
        <v>89</v>
      </c>
      <c r="E7" s="7" t="s">
        <v>90</v>
      </c>
      <c r="F7" s="7" t="s">
        <v>91</v>
      </c>
      <c r="G7" s="7" t="s">
        <v>92</v>
      </c>
      <c r="H7" s="7" t="s">
        <v>44</v>
      </c>
      <c r="I7" s="7" t="s">
        <v>1</v>
      </c>
      <c r="J7" s="7" t="s">
        <v>37</v>
      </c>
      <c r="K7" s="7" t="s">
        <v>80</v>
      </c>
    </row>
    <row r="8" spans="1:11" s="7" customFormat="1" ht="85" x14ac:dyDescent="0.2">
      <c r="A8" s="7" t="s">
        <v>7</v>
      </c>
      <c r="B8" s="7" t="s">
        <v>95</v>
      </c>
      <c r="C8" s="7" t="s">
        <v>93</v>
      </c>
      <c r="D8" s="7" t="s">
        <v>96</v>
      </c>
      <c r="E8" s="7" t="s">
        <v>97</v>
      </c>
      <c r="F8" s="8" t="s">
        <v>94</v>
      </c>
      <c r="G8" s="7" t="s">
        <v>98</v>
      </c>
      <c r="H8" s="7" t="s">
        <v>44</v>
      </c>
      <c r="I8" s="7" t="s">
        <v>0</v>
      </c>
      <c r="J8" s="7" t="s">
        <v>38</v>
      </c>
      <c r="K8" s="7" t="s">
        <v>80</v>
      </c>
    </row>
    <row r="9" spans="1:11" ht="153" x14ac:dyDescent="0.2">
      <c r="A9" s="6" t="s">
        <v>11</v>
      </c>
      <c r="B9" s="7" t="s">
        <v>99</v>
      </c>
      <c r="C9" s="7" t="s">
        <v>60</v>
      </c>
      <c r="D9" s="7" t="s">
        <v>100</v>
      </c>
      <c r="E9" s="7" t="s">
        <v>101</v>
      </c>
      <c r="F9" s="7" t="s">
        <v>102</v>
      </c>
      <c r="G9" s="7" t="s">
        <v>103</v>
      </c>
      <c r="H9" s="7" t="s">
        <v>44</v>
      </c>
      <c r="I9" s="6" t="s">
        <v>0</v>
      </c>
      <c r="J9" s="7" t="s">
        <v>104</v>
      </c>
      <c r="K9" s="7" t="s">
        <v>80</v>
      </c>
    </row>
    <row r="10" spans="1:11" ht="119" x14ac:dyDescent="0.2">
      <c r="A10" s="6" t="s">
        <v>10</v>
      </c>
      <c r="B10" s="7" t="s">
        <v>105</v>
      </c>
      <c r="C10" s="7" t="s">
        <v>106</v>
      </c>
      <c r="D10" s="7" t="s">
        <v>107</v>
      </c>
      <c r="E10" s="7" t="s">
        <v>108</v>
      </c>
      <c r="F10" s="7" t="s">
        <v>109</v>
      </c>
      <c r="G10" s="7" t="s">
        <v>110</v>
      </c>
      <c r="H10" s="7" t="s">
        <v>56</v>
      </c>
      <c r="I10" s="7" t="s">
        <v>1</v>
      </c>
      <c r="J10" s="7" t="s">
        <v>15</v>
      </c>
      <c r="K10" s="7" t="s">
        <v>80</v>
      </c>
    </row>
    <row r="11" spans="1:11" ht="187" x14ac:dyDescent="0.2">
      <c r="A11" s="6" t="s">
        <v>126</v>
      </c>
      <c r="B11" s="7" t="s">
        <v>112</v>
      </c>
      <c r="C11" s="7" t="s">
        <v>113</v>
      </c>
      <c r="D11" s="7" t="s">
        <v>114</v>
      </c>
      <c r="E11" s="7" t="s">
        <v>115</v>
      </c>
      <c r="F11" s="7" t="s">
        <v>116</v>
      </c>
      <c r="G11" s="7" t="s">
        <v>117</v>
      </c>
      <c r="H11" s="7" t="s">
        <v>49</v>
      </c>
      <c r="I11" s="6" t="s">
        <v>0</v>
      </c>
      <c r="J11" s="7" t="s">
        <v>111</v>
      </c>
      <c r="K11" s="7" t="s">
        <v>80</v>
      </c>
    </row>
  </sheetData>
  <sheetProtection algorithmName="SHA-512" hashValue="8/Nff9OeduWWy7/RfOVWe6aEofy7ObdNL6XqK5b2fVXs6/3ppNduIvTm/n3+ne6AyillIqnmDZ1FtZUkfjVkbQ==" saltValue="WIQ2mDxkKaqbRQXnXuGITQ==" spinCount="100000" sheet="1" objects="1" scenarios="1"/>
  <mergeCells count="2">
    <mergeCell ref="A1:D1"/>
    <mergeCell ref="A2:C2"/>
  </mergeCell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59038-2E90-8044-B0E1-767A36CC2FE6}">
  <dimension ref="A1:N5"/>
  <sheetViews>
    <sheetView zoomScale="113" zoomScaleNormal="113" workbookViewId="0"/>
  </sheetViews>
  <sheetFormatPr baseColWidth="10" defaultRowHeight="16" x14ac:dyDescent="0.2"/>
  <cols>
    <col min="1" max="1" width="20.33203125" customWidth="1"/>
    <col min="2" max="2" width="60.6640625" bestFit="1" customWidth="1"/>
    <col min="3" max="3" width="15.6640625" customWidth="1"/>
    <col min="4" max="4" width="29" customWidth="1"/>
    <col min="5" max="5" width="34.1640625" bestFit="1" customWidth="1"/>
    <col min="6" max="6" width="35.33203125" bestFit="1" customWidth="1"/>
    <col min="7" max="7" width="17.1640625" bestFit="1" customWidth="1"/>
    <col min="8" max="8" width="19.1640625" bestFit="1" customWidth="1"/>
    <col min="9" max="9" width="17" bestFit="1" customWidth="1"/>
    <col min="10" max="10" width="17.83203125" bestFit="1" customWidth="1"/>
    <col min="11" max="11" width="21.5" bestFit="1" customWidth="1"/>
    <col min="12" max="12" width="19.5" bestFit="1" customWidth="1"/>
    <col min="13" max="13" width="12.6640625" bestFit="1" customWidth="1"/>
    <col min="14" max="14" width="19.5" bestFit="1" customWidth="1"/>
  </cols>
  <sheetData>
    <row r="1" spans="1:14" x14ac:dyDescent="0.2">
      <c r="A1" s="21" t="s">
        <v>140</v>
      </c>
      <c r="B1" s="10" t="s">
        <v>17</v>
      </c>
      <c r="C1" s="10" t="s">
        <v>18</v>
      </c>
      <c r="D1" s="10" t="s">
        <v>2</v>
      </c>
      <c r="E1" s="10" t="s">
        <v>19</v>
      </c>
      <c r="F1" s="10" t="s">
        <v>20</v>
      </c>
      <c r="G1" s="10" t="s">
        <v>21</v>
      </c>
      <c r="H1" s="10" t="s">
        <v>22</v>
      </c>
      <c r="I1" s="10" t="s">
        <v>23</v>
      </c>
      <c r="J1" s="10" t="s">
        <v>24</v>
      </c>
      <c r="K1" s="10" t="s">
        <v>25</v>
      </c>
      <c r="L1" s="10" t="s">
        <v>26</v>
      </c>
      <c r="M1" s="10" t="s">
        <v>27</v>
      </c>
      <c r="N1" s="10" t="s">
        <v>28</v>
      </c>
    </row>
    <row r="2" spans="1:14" s="7" customFormat="1" ht="133" customHeight="1" x14ac:dyDescent="0.2">
      <c r="A2" s="11" t="s">
        <v>14</v>
      </c>
      <c r="B2" s="7" t="str" cm="1">
        <f t="array" ref="B2:N2">_xlfn.XLOOKUP(A2,Risk_Register!A:A,Risk_Register!B:N, "Not Found")</f>
        <v>Unauthorized access to cloud resources due to network misconfiguration</v>
      </c>
      <c r="C2" s="7" t="str">
        <v>External attacker scanning cloud infrastructure</v>
      </c>
      <c r="D2" s="7" t="str">
        <v>Security group rules are manually managed without documented standards</v>
      </c>
      <c r="E2" s="7">
        <v>3</v>
      </c>
      <c r="F2" s="7">
        <v>5</v>
      </c>
      <c r="G2" s="7">
        <v>15</v>
      </c>
      <c r="H2" s="7" t="str">
        <v xml:space="preserve">High </v>
      </c>
      <c r="I2" s="7" t="str">
        <v>SC-7</v>
      </c>
      <c r="J2" s="7" t="str">
        <v>Boundary Protection</v>
      </c>
      <c r="K2" s="7" t="str">
        <v>AWS Security Groups used to restrict inbound and outbound traffic</v>
      </c>
      <c r="L2" s="7" t="str">
        <v>Partially Effective</v>
      </c>
      <c r="M2" s="7" t="str">
        <v>Medium</v>
      </c>
      <c r="N2" s="7" t="str">
        <v>Establish documented network configuration standards and periodically review security group rules</v>
      </c>
    </row>
    <row r="4" spans="1:14" s="5" customFormat="1" x14ac:dyDescent="0.2">
      <c r="A4" s="22" t="s">
        <v>141</v>
      </c>
      <c r="B4" s="5" t="s">
        <v>29</v>
      </c>
      <c r="C4" s="5" t="s">
        <v>77</v>
      </c>
      <c r="D4" s="5" t="s">
        <v>24</v>
      </c>
      <c r="E4" s="5" t="s">
        <v>78</v>
      </c>
      <c r="F4" s="5" t="s">
        <v>79</v>
      </c>
      <c r="G4" s="5" t="s">
        <v>76</v>
      </c>
      <c r="H4" s="5" t="s">
        <v>30</v>
      </c>
      <c r="I4" s="5" t="s">
        <v>73</v>
      </c>
      <c r="J4" s="5" t="s">
        <v>74</v>
      </c>
      <c r="K4" s="5" t="s">
        <v>75</v>
      </c>
    </row>
    <row r="5" spans="1:14" s="7" customFormat="1" ht="190" customHeight="1" x14ac:dyDescent="0.2">
      <c r="A5" s="11" t="s">
        <v>8</v>
      </c>
      <c r="B5" s="7" t="str" cm="1">
        <f t="array" ref="B5:K5">_xlfn.XLOOKUP(A5,Control_Assesment!A:A, Control_Assesment!B:K, "Not Found")</f>
        <v>Identification and Authentication</v>
      </c>
      <c r="C5" s="7" t="str">
        <v>Multifactor Authentication</v>
      </c>
      <c r="D5" s="7" t="str">
        <v>The organization implements multifactor authentication (MFA) to verify user identity prior to granting access to systems and data.</v>
      </c>
      <c r="E5" s="7" t="str">
        <v>MFA is enforced for privileged AWS IAM users; however, MFA is not required for all user accounts, and standard users authenticate using only a username and password.</v>
      </c>
      <c r="F5" s="7" t="str">
        <v>Reviewed AWS IAM authentication settings to determine whether MFA is enforced across privileged and non-privileged user accounts.</v>
      </c>
      <c r="G5" s="7" t="str">
        <v>AWS IAM MFA configuration settings and user authentication configurations</v>
      </c>
      <c r="H5" s="7" t="str">
        <v>Effective</v>
      </c>
      <c r="I5" s="7" t="str">
        <v>Partially Compliant</v>
      </c>
      <c r="J5" s="7" t="str">
        <v>R1, R6</v>
      </c>
      <c r="K5" s="7" t="str">
        <v>Security / IT</v>
      </c>
    </row>
  </sheetData>
  <sheetProtection algorithmName="SHA-512" hashValue="XoHVQ9RxEg0U9EadfQ6dswqkWio/djC47R0vpceYXsTikql4DrIluoWP5/R5TaUfJ2gHFEgkArK1AjavzE56Rw==" saltValue="uRhYmVtenpo2sj7fiHld5w==" spinCount="100000" sheet="1" objects="1" scenarios="1"/>
  <dataValidations count="2">
    <dataValidation type="list" allowBlank="1" showInputMessage="1" showErrorMessage="1" sqref="A2" xr:uid="{13B7BF62-65D4-D049-BEE9-E357C9795BDC}">
      <formula1>"R1, R2, R3, R4, R5, R6"</formula1>
    </dataValidation>
    <dataValidation type="list" allowBlank="1" showInputMessage="1" showErrorMessage="1" sqref="A5" xr:uid="{C0FD228C-FDBD-E747-98B7-27755DAD5D4F}">
      <formula1>"IA-2, AU-6, AC-6, SC-7, CM-2, AC-17"</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Project_Overview</vt:lpstr>
      <vt:lpstr>Risk_Register</vt:lpstr>
      <vt:lpstr>Control_Assesment</vt:lpstr>
      <vt:lpstr>Control_Lookup_Interface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Seeger, Conor Donahue</dc:creator>
  <cp:lastModifiedBy>Conor Seeger</cp:lastModifiedBy>
  <cp:lastPrinted>2026-03-16T14:40:01Z</cp:lastPrinted>
  <dcterms:created xsi:type="dcterms:W3CDTF">2026-02-27T21:18:33Z</dcterms:created>
  <dcterms:modified xsi:type="dcterms:W3CDTF">2026-03-17T22:01:54Z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e7542bc-63e5-412b-b0a0-d9586028a7d0_Enabled">
    <vt:lpwstr>true</vt:lpwstr>
  </property>
  <property fmtid="{D5CDD505-2E9C-101B-9397-08002B2CF9AE}" pid="3" name="MSIP_Label_ae7542bc-63e5-412b-b0a0-d9586028a7d0_SetDate">
    <vt:lpwstr>2026-02-27T21:25:07Z</vt:lpwstr>
  </property>
  <property fmtid="{D5CDD505-2E9C-101B-9397-08002B2CF9AE}" pid="4" name="MSIP_Label_ae7542bc-63e5-412b-b0a0-d9586028a7d0_Method">
    <vt:lpwstr>Privileged</vt:lpwstr>
  </property>
  <property fmtid="{D5CDD505-2E9C-101B-9397-08002B2CF9AE}" pid="5" name="MSIP_Label_ae7542bc-63e5-412b-b0a0-d9586028a7d0_Name">
    <vt:lpwstr>Sensitive</vt:lpwstr>
  </property>
  <property fmtid="{D5CDD505-2E9C-101B-9397-08002B2CF9AE}" pid="6" name="MSIP_Label_ae7542bc-63e5-412b-b0a0-d9586028a7d0_SiteId">
    <vt:lpwstr>d8999fe4-76af-40b3-b435-1d8977abc08c</vt:lpwstr>
  </property>
  <property fmtid="{D5CDD505-2E9C-101B-9397-08002B2CF9AE}" pid="7" name="MSIP_Label_ae7542bc-63e5-412b-b0a0-d9586028a7d0_ActionId">
    <vt:lpwstr>94101de4-f0af-4f4e-8ccf-368fcec1e86c</vt:lpwstr>
  </property>
  <property fmtid="{D5CDD505-2E9C-101B-9397-08002B2CF9AE}" pid="8" name="MSIP_Label_ae7542bc-63e5-412b-b0a0-d9586028a7d0_ContentBits">
    <vt:lpwstr>0</vt:lpwstr>
  </property>
  <property fmtid="{D5CDD505-2E9C-101B-9397-08002B2CF9AE}" pid="9" name="MSIP_Label_ae7542bc-63e5-412b-b0a0-d9586028a7d0_Tag">
    <vt:lpwstr>50, 0, 1, 1</vt:lpwstr>
  </property>
</Properties>
</file>