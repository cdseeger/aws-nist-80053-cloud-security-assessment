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d.docs.live.net/56176cb339f77f30/GRC Notes/GRC project/"/>
    </mc:Choice>
  </mc:AlternateContent>
  <xr:revisionPtr revIDLastSave="428" documentId="14_{A45A47FA-8FC3-2E4E-ABF7-23C584B2772F}" xr6:coauthVersionLast="47" xr6:coauthVersionMax="47" xr10:uidLastSave="{C6B4CC5E-1D78-2A4F-98C4-4D17DC42A67A}"/>
  <workbookProtection workbookAlgorithmName="SHA-512" workbookHashValue="9paeKHBtZGXo+rxlIO/jt+dxWWDEmx4t/3YUf+gWeyUK8f11dRQt5jo1HX3TvdHgyVp6Nh/nI/A6PNjOzYISfA==" workbookSaltValue="hzb2P1H6CLbyF/q8BL2rgA==" workbookSpinCount="100000" lockStructure="1"/>
  <bookViews>
    <workbookView xWindow="0" yWindow="600" windowWidth="28800" windowHeight="16380" xr2:uid="{5776D21F-3CC1-E84E-980B-BC236554E2F2}"/>
  </bookViews>
  <sheets>
    <sheet name="Project_Overview" sheetId="3" r:id="rId1"/>
    <sheet name="Controls_Assessment" sheetId="1" r:id="rId2"/>
    <sheet name="Control_Look-Up" sheetId="4" r:id="rId3"/>
    <sheet name="RiskRegister &amp; ExecutiveSummary" sheetId="2" r:id="rId4"/>
  </sheets>
  <definedNames>
    <definedName name="_xlnm._FilterDatabase" localSheetId="1" hidden="1">Controls_Assessment!$A$1:$E$4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a="1"/>
  <c r="B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<sst xmlns="http://schemas.openxmlformats.org/spreadsheetml/2006/main" count="117" uniqueCount="94">
  <si>
    <t xml:space="preserve">Requirement </t>
  </si>
  <si>
    <t>Current State</t>
  </si>
  <si>
    <t xml:space="preserve">NIST SP 800-53 Control Assessment
</t>
  </si>
  <si>
    <t xml:space="preserve">System: Acme Federal Services / Environment: Amazon Web Services (AWS) / Data: Personally Identifiable Information (PII) and Controlled Unclassified Information (CUI) </t>
  </si>
  <si>
    <t>SC-7 requires Acme Federal Services to monitor and control network traffic at system boundaries to protect internal systems from unauthorized access. This includes restricting inbound and outbound communications to approved and necessary traffic only. The organization must implement boundary protection mechanisms, such as firewalls or security groups, and periodically review rules to ensure they remain appropriate. The objective of SC-7 is to reduce the risk of external threats and unauthorized network access by enforcing controlled and monitored system boundaries.</t>
  </si>
  <si>
    <t>Partially Compliant</t>
  </si>
  <si>
    <t>Not Compliant</t>
  </si>
  <si>
    <t xml:space="preserve">Gap/Recommendation </t>
  </si>
  <si>
    <t>Risk</t>
  </si>
  <si>
    <t xml:space="preserve">Threat </t>
  </si>
  <si>
    <t xml:space="preserve">Vulnerability </t>
  </si>
  <si>
    <t>Likelihood</t>
  </si>
  <si>
    <t xml:space="preserve">Impact </t>
  </si>
  <si>
    <t xml:space="preserve">Recommendation </t>
  </si>
  <si>
    <t>MFA not enforced for AWS IAM users.</t>
  </si>
  <si>
    <t>AWS CloudTrail logs are not regularly reviewed or analyzed.</t>
  </si>
  <si>
    <t>No documented periodic access review process for AWS IAM accounts.</t>
  </si>
  <si>
    <t>No documented and approved secure baseline configuration for AWS systems.</t>
  </si>
  <si>
    <t>Remote workforce operates without formally defined endpoint security controls or VPN enforcement.</t>
  </si>
  <si>
    <t>Phishing / credential theft / brute-force attack.</t>
  </si>
  <si>
    <t>Unauthorized access to AWS environment and exposure of PII/CUI.</t>
  </si>
  <si>
    <t>Malicious activity (insider misuse or external attacker).</t>
  </si>
  <si>
    <t>Insider misuse or compromised user account</t>
  </si>
  <si>
    <t>Excessive or unauthorized access persisting undetected.</t>
  </si>
  <si>
    <t>Security incidents go undetected for extended periods.</t>
  </si>
  <si>
    <t>External attacker exploiting cloud misconfigurations.</t>
  </si>
  <si>
    <t>Exposure or compromise of cloud resources due to insecure configurations.</t>
  </si>
  <si>
    <t>Compromised employee device or insecure home network.</t>
  </si>
  <si>
    <t>Unauthorized access to corporate systems through insecure remote connections.</t>
  </si>
  <si>
    <t xml:space="preserve">Medium </t>
  </si>
  <si>
    <t xml:space="preserve">High </t>
  </si>
  <si>
    <t>Medium</t>
  </si>
  <si>
    <t>High</t>
  </si>
  <si>
    <t>Critical</t>
  </si>
  <si>
    <t>Implement multi-factor authentication (MFA) for all AWS IAM users.</t>
  </si>
  <si>
    <t>Establish a documented log monitoring process with regular review of AWS CloudTrail logs.</t>
  </si>
  <si>
    <t>Implement periodic access reviews for AWS IAM users to ensure permissions remain appropriate.</t>
  </si>
  <si>
    <t>The settings of AWS services are not securely configured.</t>
  </si>
  <si>
    <t>Implement secure baseline configuration standards and regularly review AWS resource configurations.</t>
  </si>
  <si>
    <t>External attacker scanning for and exploiting cloud misconfigurations.</t>
  </si>
  <si>
    <t>Unauthorized access to cloud resources or exposure of sensitive data.</t>
  </si>
  <si>
    <t>Develop, document, and enforce secure baseline configuration standards for AWS systems.</t>
  </si>
  <si>
    <t>Implement endpoint security controls and require VPN access for all remote employees.</t>
  </si>
  <si>
    <t>Control</t>
  </si>
  <si>
    <t>Executive Summary:</t>
  </si>
  <si>
    <t>This risk assessment was conducted to evaluate the security posture of Acme Federal Services’ AWS environment, which stores and processes sensitive data including Personally Identifiable Information (PII) and Controlled Unclassified Information (CUI).</t>
  </si>
  <si>
    <t>The most significant risk identified relates to identity and access management, specifically the absence of multi-factor authentication (MFA) for AWS Identity and Access Management (IAM) users. Without MFA, compromised credentials could allow unauthorized actors to gain access to the cloud environment and potentially expose sensitive data.</t>
  </si>
  <si>
    <t>Additional risks include insufficient monitoring and review of AWS CloudTrail logs, lack of periodic access reviews for user accounts, and inadequate cloud configuration security controls. These weaknesses increase the likelihood that malicious activity, unauthorized access, or security misconfigurations could remain undetected.</t>
  </si>
  <si>
    <t>Because these vulnerabilities could result in the compromise or exposure of sensitive organizational data, it is recommended that Acme implement stronger authentication controls and enhanced monitoring capabilities. The organization should also establish secure configuration baselines and formalize access review procedures to strengthen its overall cloud security posture.</t>
  </si>
  <si>
    <t>Risk Register with Executive Summary</t>
  </si>
  <si>
    <t>Control AC-2 requires Acme Federal Services to manage the full lifecycle of user accounts. This includes authorizing accounts prior to creation, modifying accounts when personnel roles change, and disabling or removing accounts when access is no longer required. The control also requires periodic reviews of user accounts to ensure that only active and authorized accounts remain within the system.</t>
  </si>
  <si>
    <t>Acme Federal Services utilizes AWS Identity and Access Management (IAM) to create and manage user accounts within its cloud environment. However, the organization does not conduct formal quarterly access reviews to verify that user accounts remain active, authorized, and aligned with current job responsibilities.</t>
  </si>
  <si>
    <t>Acme Federal Services should implement formal quarterly user access reviews to ensure that all accounts remain authorized and aligned with employee roles. These reviews should validate that inactive accounts are disabled, unnecessary access is removed, and any changes in personnel responsibilities are reflected in account permissions.</t>
  </si>
  <si>
    <t>AC-6 requires Acme Federal Services to enforce the principle of least privilege by limiting user permissions to the minimum level necessary for employees to perform their assigned job functions. This includes restricting access based on defined user roles, separating standard user activities from privileged functions, and granting elevated privileges only when properly authorized and required. The control also requires monitoring and oversight of privileged access to ensure it is used appropriately.
The purpose of AC-6 is to reduce organizational risk by ensuring that users have access only to the systems and resources necessary to perform their duties, thereby preventing unnecessary or excessive system access.</t>
  </si>
  <si>
    <t>Acme Federal Services utilizes AWS Identity and Access Management (IAM) to assign and manage user permissions within its cloud environment. However, the organization does not conduct formal periodic access reviews to verify that user permissions remain aligned with employees’ job responsibilities.</t>
  </si>
  <si>
    <t>Acme Federal Services should implement formal periodic access reviews to ensure that user permissions remain aligned with job responsibilities and that unnecessary or excessive privileges are removed. Regular reviews will help enforce the principle of least privilege and reduce the risk associated with unauthorized or excessive access.</t>
  </si>
  <si>
    <t>IA-2 requires Acme Federal Services to verify the identity of users before granting access to systems and data. This includes implementing strong authentication mechanisms, such as multi-factor authentication (MFA), particularly for privileged and administrative accounts. Access should only be granted after successful authentication has been completed.
The purpose of IA-2 is to reduce the risk of unauthorized access by ensuring that users are properly authenticated before gaining access to organizational systems and resources.</t>
  </si>
  <si>
    <t>Acme Federal Services enforces multi-factor authentication (MFA) for administrative accounts within its cloud environment. However, MFA is not required for all user accounts. Standard users authenticate using only a username and password.</t>
  </si>
  <si>
    <t>Acme Federal Services should implement multi-factor authentication for all user accounts accessing organizational systems and data. Expanding MFA requirements beyond administrative accounts will strengthen identity verification controls and reduce the risk of unauthorized access resulting from compromised credentials.</t>
  </si>
  <si>
    <t>AU-6 requires Acme Federal Services to regularly review and analyze audit logs to identify suspicious activity, security incidents, or policy violations. The organization must establish a defined process for monitoring logs, including review frequency and assigned responsibility for analysis. Relevant events should be investigated and escalated when necessary. The objective of AU-6 is to enable timely detection of unauthorized or abnormal system activity and to support incident response and ongoing security monitoring.</t>
  </si>
  <si>
    <t>Although AWS CloudTrail logs are retained, the organization does not conduct regular or documented log reviews.</t>
  </si>
  <si>
    <t>Acme Federal Services should establish a documented log monitoring process that defines review frequency and assigns responsibility for log analysis. Implementation of a Security Information and Event Management (SIEM) solution should also be considered to support centralized log aggregation, correlation, and real-time alerting.</t>
  </si>
  <si>
    <t>CM-2 requires Acme Federal Services to establish and maintain secure baseline configurations for information systems. This includes defining and documenting standard system settings and approved security configurations. Systems must be configured according to the approved baseline and remain aligned with it through monitoring and periodic review. The objective of CM-2 is to reduce security risk by ensuring systems operate in a known, secure, and consistent configuration state.</t>
  </si>
  <si>
    <t>Although security groups and system configurations are managed within AWS, Acme Federal Services does not maintain a documented or formally approved baseline configuration standard.</t>
  </si>
  <si>
    <t>Acme Federal Services utilizes AWS Security Groups as a virtual firewall to restrict inbound and outbound network traffic. However, security group configurations are managed manually, and the organization does not maintain a documented baseline configuration governing approved network rule standards.</t>
  </si>
  <si>
    <t>While AWS Security Groups are used to enforce boundary protection, the absence of documented configuration standards and periodic rule reviews increases the risk of misconfigured network access. Acme Federal Services should formalize boundary protection standards and implement routine validation of security group rules.</t>
  </si>
  <si>
    <t>AWS Cloud Security Control Assessment
(NIST SP 800-53 Based)</t>
  </si>
  <si>
    <t>Project Description:</t>
  </si>
  <si>
    <t>This project evaluates the security posture of a fictional federal contractor operating in an AWS cloud environment. The assessment reviews selected security controls from the NIST SP 800-53 framework related to identity and access management, authentication, monitoring, configuration management, and network security.</t>
  </si>
  <si>
    <t>Organization Evaluated:</t>
  </si>
  <si>
    <t>Acme Federal Services (Fictional Organization)</t>
  </si>
  <si>
    <t>The objective of this assessment is to evaluate whether existing security controls are implemented effectively and to identify potential gaps that may expose the organization to security risks.</t>
  </si>
  <si>
    <t>Assessment Objective:</t>
  </si>
  <si>
    <t>The purpose of this assessment is to:
1. Evaluate selected security controls within the AWS environment
2. Identify control gaps or weaknesses
3.  Determine the organization’s level of compliance with NIST security control requirements
4.  Provide recommendations to strengthen the organization’s overall security posture</t>
  </si>
  <si>
    <t>Scope:</t>
  </si>
  <si>
    <t>The assessment focuses on key access control, monitoring, authentication, and configuration management controls within the AWS environment used by Acme Federal Services.</t>
  </si>
  <si>
    <t>Controls Evaluated:</t>
  </si>
  <si>
    <t>The following controls from NIST SP 800-53 were evaluated:
AC-2 — Account Management
AC-6 — Least Privilege
IA-2 — Identification and Authentication (Multifactor Authentication)
AU-6 — Log Review
CM-2 — Baseline Configuration
SC-7 — Boundary Protection</t>
  </si>
  <si>
    <t>AWS Identity and Access Management (IAM)
AWS CloudTrail
AWS Security Groups</t>
  </si>
  <si>
    <t>Technologies Referenced:</t>
  </si>
  <si>
    <t>Assessment Outcome:</t>
  </si>
  <si>
    <t>The assessment identified several control gaps related to access reviews, log monitoring, baseline configuration management, and authentication practices. Recommendations have been provided to help strengthen the organization's cloud security posture and improve alignment with NIST SP 800-53 security control requirements.</t>
  </si>
  <si>
    <t xml:space="preserve"> </t>
  </si>
  <si>
    <t xml:space="preserve">Control </t>
  </si>
  <si>
    <t>AC-6</t>
  </si>
  <si>
    <t>AC-2</t>
  </si>
  <si>
    <t>IA-2</t>
  </si>
  <si>
    <t>AU-6</t>
  </si>
  <si>
    <t>CM-2</t>
  </si>
  <si>
    <r>
      <rPr>
        <b/>
        <sz val="12"/>
        <color theme="1"/>
        <rFont val="Aptos Narrow (Body)"/>
      </rPr>
      <t>Status</t>
    </r>
    <r>
      <rPr>
        <sz val="12"/>
        <color theme="1"/>
        <rFont val="Aptos Narrow"/>
        <scheme val="minor"/>
      </rPr>
      <t xml:space="preserve">
C</t>
    </r>
    <r>
      <rPr>
        <sz val="12"/>
        <color theme="1"/>
        <rFont val="Aptos Narrow (Body)"/>
      </rPr>
      <t>ompliant / Partially Compliant / Not Compliant</t>
    </r>
  </si>
  <si>
    <r>
      <t xml:space="preserve">Status
</t>
    </r>
    <r>
      <rPr>
        <b/>
        <sz val="12"/>
        <color theme="1"/>
        <rFont val="Aptos Narrow (Body)"/>
      </rPr>
      <t>Compliant / Partially Compliant / Not Compliant</t>
    </r>
  </si>
  <si>
    <t>SC-7</t>
  </si>
  <si>
    <t>Control Look-Up</t>
  </si>
  <si>
    <t>Risk Level = 
(Likelihood ×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</si>
</sst>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Aptos Narrow"/>
      <scheme val="minor"/>
    </font>
    <font>
      <b/>
      <sz val="12"/>
      <color theme="1"/>
      <name val="Aptos Narrow"/>
      <family val="2"/>
      <scheme val="minor"/>
    </font>
    <font>
      <sz val="12"/>
      <color theme="1"/>
      <name val="Aptos Narrow (Body)"/>
    </font>
    <font>
      <b/>
      <sz val="12"/>
      <color theme="1"/>
      <name val="Aptos Narrow"/>
      <scheme val="minor"/>
    </font>
    <font>
      <b/>
      <sz val="12"/>
      <color theme="1"/>
      <name val="Aptos Narrow (Body)"/>
    </font>
    <font>
      <sz val="12"/>
      <color rgb="FF000000"/>
      <name val="Aptos Narrow"/>
      <scheme val="minor"/>
    </font>
  </fonts>
  <fills count="4">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applyAlignment="1">
      <alignment horizontal="left"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4" fillId="0" borderId="0" xfId="0" applyFont="1" applyAlignment="1">
      <alignment wrapText="1"/>
    </xf>
    <xf numFmtId="0" fontId="4" fillId="0" borderId="0" xfId="0" applyFont="1"/>
    <xf numFmtId="0" fontId="1" fillId="0" borderId="0" xfId="0" applyFont="1"/>
    <xf numFmtId="0" fontId="4" fillId="0" borderId="0" xfId="0" applyFont="1" applyAlignment="1">
      <alignment horizontal="left" wrapText="1"/>
    </xf>
    <xf numFmtId="0" fontId="4" fillId="0" borderId="0" xfId="0" applyFont="1" applyAlignment="1">
      <alignment horizontal="left"/>
    </xf>
    <xf numFmtId="0" fontId="1" fillId="0" borderId="0" xfId="0" applyFont="1" applyAlignment="1">
      <alignment horizontal="left"/>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vertical="center" wrapText="1"/>
    </xf>
    <xf numFmtId="0" fontId="0" fillId="0" borderId="0" xfId="0" applyAlignment="1">
      <alignment horizontal="center"/>
    </xf>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4" fontId="4" fillId="0" borderId="0" xfId="0" applyNumberFormat="1" applyFont="1"/>
    <xf numFmtId="0" fontId="4" fillId="2" borderId="0" xfId="0" applyFont="1" applyFill="1" applyAlignment="1">
      <alignment horizontal="left" vertical="top" wrapText="1"/>
    </xf>
    <xf numFmtId="0" fontId="4" fillId="2" borderId="1" xfId="0" applyFont="1" applyFill="1" applyBorder="1" applyAlignment="1">
      <alignment horizontal="center" vertical="top" wrapText="1" shrinkToFit="1"/>
    </xf>
    <xf numFmtId="0" fontId="4" fillId="2" borderId="1" xfId="0" applyFont="1" applyFill="1" applyBorder="1" applyAlignment="1">
      <alignment horizontal="center" vertical="top" shrinkToFit="1"/>
    </xf>
    <xf numFmtId="0" fontId="4" fillId="0" borderId="1" xfId="0" applyFont="1" applyBorder="1" applyAlignment="1">
      <alignment horizontal="center" vertical="center"/>
    </xf>
    <xf numFmtId="0" fontId="2" fillId="3" borderId="1" xfId="0" applyFont="1" applyFill="1" applyBorder="1" applyAlignment="1">
      <alignment horizontal="center"/>
    </xf>
    <xf numFmtId="0" fontId="6" fillId="0" borderId="1" xfId="0" applyFont="1" applyBorder="1" applyAlignment="1">
      <alignment horizontal="center" vertical="center" wrapText="1"/>
    </xf>
    <xf numFmtId="0" fontId="4" fillId="2" borderId="1" xfId="0" applyFont="1" applyFill="1" applyBorder="1" applyAlignment="1">
      <alignment horizontal="center"/>
    </xf>
    <xf numFmtId="0" fontId="0" fillId="0" borderId="1" xfId="0"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5D4A-3E3A-4B4F-A206-C932D8F564A4}">
  <sheetPr>
    <pageSetUpPr fitToPage="1"/>
  </sheetPr>
  <dimension ref="A1:J24"/>
  <sheetViews>
    <sheetView tabSelected="1" zoomScaleNormal="100" workbookViewId="0">
      <pane ySplit="1" topLeftCell="A2" activePane="bottomLeft" state="frozen"/>
      <selection pane="bottomLeft" sqref="A1:D1"/>
    </sheetView>
  </sheetViews>
  <sheetFormatPr baseColWidth="10" defaultRowHeight="16" x14ac:dyDescent="0.2"/>
  <cols>
    <col min="1" max="1" width="31.83203125" style="10" customWidth="1"/>
    <col min="2" max="3" width="10.83203125" style="10"/>
    <col min="4" max="4" width="10.83203125" style="10" bestFit="1" customWidth="1"/>
    <col min="5" max="16384" width="10.83203125" style="10"/>
  </cols>
  <sheetData>
    <row r="1" spans="1:10" ht="35" customHeight="1" x14ac:dyDescent="0.2">
      <c r="A1" s="25" t="s">
        <v>66</v>
      </c>
      <c r="B1" s="25"/>
      <c r="C1" s="25"/>
      <c r="D1" s="25"/>
      <c r="E1" s="8"/>
      <c r="F1" s="8"/>
      <c r="G1" s="8"/>
      <c r="H1" s="8"/>
      <c r="I1" s="8"/>
      <c r="J1" s="9"/>
    </row>
    <row r="2" spans="1:10" ht="19" customHeight="1" x14ac:dyDescent="0.2">
      <c r="A2" s="11"/>
      <c r="B2" s="11"/>
      <c r="C2" s="11"/>
      <c r="D2" s="11"/>
      <c r="E2" s="11"/>
      <c r="F2" s="11"/>
      <c r="G2" s="11"/>
      <c r="H2" s="11"/>
      <c r="I2" s="11"/>
      <c r="J2" s="9"/>
    </row>
    <row r="3" spans="1:10" ht="19" customHeight="1" x14ac:dyDescent="0.2">
      <c r="A3" s="12" t="s">
        <v>69</v>
      </c>
      <c r="B3" s="11"/>
      <c r="C3" s="11"/>
      <c r="D3" s="11"/>
      <c r="E3" s="11"/>
      <c r="F3" s="11"/>
      <c r="G3" s="11"/>
      <c r="H3" s="11"/>
      <c r="I3" s="11"/>
      <c r="J3" s="9"/>
    </row>
    <row r="4" spans="1:10" ht="34" x14ac:dyDescent="0.2">
      <c r="A4" s="1" t="s">
        <v>70</v>
      </c>
      <c r="B4" s="11"/>
      <c r="C4" s="11"/>
      <c r="D4" s="11"/>
      <c r="E4" s="11"/>
      <c r="F4" s="11"/>
      <c r="G4" s="11"/>
      <c r="H4" s="11"/>
      <c r="I4" s="11"/>
      <c r="J4" s="9"/>
    </row>
    <row r="5" spans="1:10" x14ac:dyDescent="0.2">
      <c r="D5" s="10" t="s">
        <v>82</v>
      </c>
    </row>
    <row r="6" spans="1:10" x14ac:dyDescent="0.2">
      <c r="A6" s="9" t="s">
        <v>67</v>
      </c>
      <c r="B6" s="9"/>
    </row>
    <row r="7" spans="1:10" ht="170" x14ac:dyDescent="0.2">
      <c r="A7" s="1" t="s">
        <v>68</v>
      </c>
    </row>
    <row r="9" spans="1:10" ht="102" x14ac:dyDescent="0.2">
      <c r="A9" s="1" t="s">
        <v>71</v>
      </c>
    </row>
    <row r="11" spans="1:10" x14ac:dyDescent="0.2">
      <c r="A11" s="9" t="s">
        <v>72</v>
      </c>
    </row>
    <row r="12" spans="1:10" s="13" customFormat="1" ht="238" x14ac:dyDescent="0.2">
      <c r="A12" s="1" t="s">
        <v>73</v>
      </c>
    </row>
    <row r="14" spans="1:10" x14ac:dyDescent="0.2">
      <c r="A14" s="9" t="s">
        <v>74</v>
      </c>
    </row>
    <row r="15" spans="1:10" ht="87" customHeight="1" x14ac:dyDescent="0.2">
      <c r="A15" s="14" t="s">
        <v>75</v>
      </c>
    </row>
    <row r="17" spans="1:1" x14ac:dyDescent="0.2">
      <c r="A17" s="9" t="s">
        <v>76</v>
      </c>
    </row>
    <row r="18" spans="1:1" ht="176" customHeight="1" x14ac:dyDescent="0.2">
      <c r="A18" s="15" t="s">
        <v>77</v>
      </c>
    </row>
    <row r="20" spans="1:1" x14ac:dyDescent="0.2">
      <c r="A20" s="9" t="s">
        <v>79</v>
      </c>
    </row>
    <row r="21" spans="1:1" ht="68" x14ac:dyDescent="0.2">
      <c r="A21" s="16" t="s">
        <v>78</v>
      </c>
    </row>
    <row r="23" spans="1:1" x14ac:dyDescent="0.2">
      <c r="A23" s="9" t="s">
        <v>80</v>
      </c>
    </row>
    <row r="24" spans="1:1" ht="150" customHeight="1" x14ac:dyDescent="0.2">
      <c r="A24" s="14" t="s">
        <v>81</v>
      </c>
    </row>
  </sheetData>
  <sheetProtection algorithmName="SHA-512" hashValue="DEuUnd964VCkvm8bsphSb06Nt83gb86jRutvowuQaE0b6uDprLB5ZLz1Gw14ZZfHjh5Fbkr3X/ME79sqfr5Eeg==" saltValue="T9AV0gu0Odvl4HNFf6HW+Q==" spinCount="100000" sheet="1" objects="1" scenarios="1"/>
  <mergeCells count="1">
    <mergeCell ref="A1:D1"/>
  </mergeCells>
  <pageMargins left="0.7" right="0.7" top="0.75" bottom="0.75" header="0.3" footer="0.3"/>
  <pageSetup fitToHeight="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31B5-5959-FC42-8590-A4D8454F8AA6}">
  <sheetPr>
    <pageSetUpPr fitToPage="1"/>
  </sheetPr>
  <dimension ref="A1:F9"/>
  <sheetViews>
    <sheetView zoomScaleNormal="100" workbookViewId="0">
      <pane ySplit="3" topLeftCell="A4" activePane="bottomLeft" state="frozen"/>
      <selection pane="bottomLeft" sqref="A1:E1"/>
    </sheetView>
  </sheetViews>
  <sheetFormatPr baseColWidth="10" defaultColWidth="10.83203125" defaultRowHeight="16" x14ac:dyDescent="0.2"/>
  <cols>
    <col min="1" max="1" width="7.33203125" bestFit="1" customWidth="1"/>
    <col min="2" max="2" width="49.83203125" customWidth="1"/>
    <col min="3" max="3" width="31.33203125" customWidth="1"/>
    <col min="4" max="4" width="28" bestFit="1" customWidth="1"/>
    <col min="5" max="5" width="77" bestFit="1" customWidth="1"/>
  </cols>
  <sheetData>
    <row r="1" spans="1:6" x14ac:dyDescent="0.2">
      <c r="A1" s="26" t="s">
        <v>2</v>
      </c>
      <c r="B1" s="27"/>
      <c r="C1" s="27"/>
      <c r="D1" s="27"/>
      <c r="E1" s="27"/>
    </row>
    <row r="2" spans="1:6" x14ac:dyDescent="0.2">
      <c r="A2" s="28" t="s">
        <v>3</v>
      </c>
      <c r="B2" s="28"/>
      <c r="C2" s="28"/>
      <c r="D2" s="28"/>
      <c r="E2" s="28"/>
    </row>
    <row r="3" spans="1:6" ht="51" x14ac:dyDescent="0.2">
      <c r="A3" s="5" t="s">
        <v>43</v>
      </c>
      <c r="B3" s="5" t="s">
        <v>0</v>
      </c>
      <c r="C3" s="6" t="s">
        <v>1</v>
      </c>
      <c r="D3" s="6" t="s">
        <v>89</v>
      </c>
      <c r="E3" s="5" t="s">
        <v>7</v>
      </c>
      <c r="F3" s="20"/>
    </row>
    <row r="4" spans="1:6" ht="170" x14ac:dyDescent="0.2">
      <c r="A4" s="17" t="s">
        <v>85</v>
      </c>
      <c r="B4" s="2" t="s">
        <v>50</v>
      </c>
      <c r="C4" s="7" t="s">
        <v>51</v>
      </c>
      <c r="D4" s="3" t="s">
        <v>5</v>
      </c>
      <c r="E4" s="2" t="s">
        <v>52</v>
      </c>
      <c r="F4" s="20"/>
    </row>
    <row r="5" spans="1:6" ht="238" x14ac:dyDescent="0.2">
      <c r="A5" s="17" t="s">
        <v>84</v>
      </c>
      <c r="B5" s="7" t="s">
        <v>53</v>
      </c>
      <c r="C5" s="7" t="s">
        <v>54</v>
      </c>
      <c r="D5" s="3" t="s">
        <v>5</v>
      </c>
      <c r="E5" s="2" t="s">
        <v>55</v>
      </c>
    </row>
    <row r="6" spans="1:6" ht="204" x14ac:dyDescent="0.2">
      <c r="A6" s="17" t="s">
        <v>86</v>
      </c>
      <c r="B6" s="2" t="s">
        <v>56</v>
      </c>
      <c r="C6" s="7" t="s">
        <v>57</v>
      </c>
      <c r="D6" s="4" t="s">
        <v>6</v>
      </c>
      <c r="E6" s="2" t="s">
        <v>58</v>
      </c>
    </row>
    <row r="7" spans="1:6" ht="170" x14ac:dyDescent="0.2">
      <c r="A7" s="17" t="s">
        <v>87</v>
      </c>
      <c r="B7" s="7" t="s">
        <v>59</v>
      </c>
      <c r="C7" s="7" t="s">
        <v>60</v>
      </c>
      <c r="D7" s="4" t="s">
        <v>6</v>
      </c>
      <c r="E7" s="7" t="s">
        <v>61</v>
      </c>
    </row>
    <row r="8" spans="1:6" ht="153" x14ac:dyDescent="0.2">
      <c r="A8" s="17" t="s">
        <v>88</v>
      </c>
      <c r="B8" s="7" t="s">
        <v>62</v>
      </c>
      <c r="C8" s="7" t="s">
        <v>63</v>
      </c>
      <c r="D8" s="4" t="s">
        <v>6</v>
      </c>
      <c r="E8" s="7" t="s">
        <v>58</v>
      </c>
    </row>
    <row r="9" spans="1:6" ht="187" x14ac:dyDescent="0.2">
      <c r="A9" s="17" t="s">
        <v>91</v>
      </c>
      <c r="B9" s="2" t="s">
        <v>4</v>
      </c>
      <c r="C9" s="7" t="s">
        <v>64</v>
      </c>
      <c r="D9" s="4" t="s">
        <v>5</v>
      </c>
      <c r="E9" s="7" t="s">
        <v>65</v>
      </c>
    </row>
  </sheetData>
  <sheetProtection algorithmName="SHA-512" hashValue="febPRyf6MApna6SSMDCQ4eiwXcbwj0qZ5ubLijU3ysW/jjyDjChc88pzC5DAXvGqM3b+vZy2JttQ0Ql3rRpL5w==" saltValue="cT0uMTzJhlN51+rvc57F4Q==" spinCount="100000" sheet="1" objects="1" scenarios="1"/>
  <mergeCells count="2">
    <mergeCell ref="A1:E1"/>
    <mergeCell ref="A2:E2"/>
  </mergeCells>
  <dataValidations count="1">
    <dataValidation type="list" allowBlank="1" showInputMessage="1" showErrorMessage="1" sqref="D4:D10 B11:B12 C13:C16 D17:D1048576" xr:uid="{A0AD5AEC-9581-6341-86A5-26DFCCB4B221}">
      <formula1>"Compliant, Partially Compliant, Not Compliant"</formula1>
    </dataValidation>
  </dataValidations>
  <pageMargins left="0.7" right="0.7" top="0.75" bottom="0.75" header="0.3" footer="0.3"/>
  <pageSetup scale="59" fitToHeight="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B706-F165-9841-9F26-B7E11657DAA8}">
  <dimension ref="A1:E21"/>
  <sheetViews>
    <sheetView zoomScaleNormal="100" workbookViewId="0">
      <selection sqref="A1:E1"/>
    </sheetView>
  </sheetViews>
  <sheetFormatPr baseColWidth="10" defaultRowHeight="16" x14ac:dyDescent="0.2"/>
  <cols>
    <col min="1" max="1" width="7.6640625" bestFit="1" customWidth="1"/>
    <col min="2" max="2" width="70.6640625" bestFit="1" customWidth="1"/>
    <col min="3" max="3" width="28.33203125" bestFit="1" customWidth="1"/>
    <col min="4" max="4" width="28.5" bestFit="1" customWidth="1"/>
    <col min="5" max="5" width="31.5" bestFit="1" customWidth="1"/>
  </cols>
  <sheetData>
    <row r="1" spans="1:5" x14ac:dyDescent="0.2">
      <c r="A1" s="29" t="s">
        <v>92</v>
      </c>
      <c r="B1" s="29"/>
      <c r="C1" s="29"/>
      <c r="D1" s="29"/>
      <c r="E1" s="29"/>
    </row>
    <row r="2" spans="1:5" ht="51" x14ac:dyDescent="0.2">
      <c r="A2" s="22" t="s">
        <v>83</v>
      </c>
      <c r="B2" s="22" t="s">
        <v>0</v>
      </c>
      <c r="C2" s="22" t="s">
        <v>1</v>
      </c>
      <c r="D2" s="23" t="s">
        <v>90</v>
      </c>
      <c r="E2" s="22" t="s">
        <v>7</v>
      </c>
    </row>
    <row r="3" spans="1:5" ht="175" customHeight="1" x14ac:dyDescent="0.2">
      <c r="A3" s="32" t="s">
        <v>91</v>
      </c>
      <c r="B3" s="18" t="str" cm="1">
        <f t="array" ref="B3:E3">_xlfn.XLOOKUP(A3,Controls_Assessment!A4:A9,Controls_Assessment!B4:E9, "Not Found")</f>
        <v>SC-7 requires Acme Federal Services to monitor and control network traffic at system boundaries to protect internal systems from unauthorized access. This includes restricting inbound and outbound communications to approved and necessary traffic only. The organization must implement boundary protection mechanisms, such as firewalls or security groups, and periodically review rules to ensure they remain appropriate. The objective of SC-7 is to reduce the risk of external threats and unauthorized network access by enforcing controlled and monitored system boundaries.</v>
      </c>
      <c r="C3" s="18" t="str">
        <v>Acme Federal Services utilizes AWS Security Groups as a virtual firewall to restrict inbound and outbound network traffic. However, security group configurations are managed manually, and the organization does not maintain a documented baseline configuration governing approved network rule standards.</v>
      </c>
      <c r="D3" s="17" t="str">
        <v>Partially Compliant</v>
      </c>
      <c r="E3" s="18" t="str">
        <v>While AWS Security Groups are used to enforce boundary protection, the absence of documented configuration standards and periodic rule reviews increases the risk of misconfigured network access. Acme Federal Services should formalize boundary protection standards and implement routine validation of security group rules.</v>
      </c>
    </row>
    <row r="21" spans="2:2" x14ac:dyDescent="0.2">
      <c r="B21" s="21"/>
    </row>
  </sheetData>
  <sheetProtection algorithmName="SHA-512" hashValue="BvjNuq719mnJWe8jFZ77/PED09TAEfmFvWa/yTNiO7S0isgpTeiPTkrcYb/2Ue0eDOx8fiBDvkUXx/l1BmfIGA==" saltValue="6APFn0lc2oOfZSwQftqA4A==" spinCount="100000" sheet="1" objects="1" scenarios="1"/>
  <mergeCells count="1">
    <mergeCell ref="A1:E1"/>
  </mergeCells>
  <dataValidations count="1">
    <dataValidation type="list" allowBlank="1" showInputMessage="1" showErrorMessage="1" sqref="A3" xr:uid="{51310BEB-4EAF-194C-898E-A13D588FE2B6}">
      <formula1>"AC-2, AC-6, IA-2, AU-6, CM-2, SC-7"</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5738-648E-3044-9B62-10E1C848A4F3}">
  <dimension ref="A1:J18"/>
  <sheetViews>
    <sheetView zoomScaleNormal="100" workbookViewId="0">
      <pane ySplit="3" topLeftCell="A4" activePane="bottomLeft" state="frozen"/>
      <selection pane="bottomLeft" sqref="A1:G1"/>
    </sheetView>
  </sheetViews>
  <sheetFormatPr baseColWidth="10" defaultColWidth="10.83203125" defaultRowHeight="16" x14ac:dyDescent="0.2"/>
  <cols>
    <col min="1" max="1" width="43.33203125" style="10" bestFit="1" customWidth="1"/>
    <col min="2" max="2" width="16.5" style="10" bestFit="1" customWidth="1"/>
    <col min="3" max="3" width="15.83203125" style="10" bestFit="1" customWidth="1"/>
    <col min="4" max="4" width="9.6640625" style="10" bestFit="1" customWidth="1"/>
    <col min="5" max="5" width="7.33203125" style="10" bestFit="1" customWidth="1"/>
    <col min="6" max="6" width="10.33203125" style="10" bestFit="1" customWidth="1"/>
    <col min="7" max="7" width="18.5" style="10" bestFit="1" customWidth="1"/>
    <col min="8" max="16384" width="10.83203125" style="10"/>
  </cols>
  <sheetData>
    <row r="1" spans="1:10" x14ac:dyDescent="0.2">
      <c r="A1" s="31" t="s">
        <v>49</v>
      </c>
      <c r="B1" s="31"/>
      <c r="C1" s="31"/>
      <c r="D1" s="31"/>
      <c r="E1" s="31"/>
      <c r="F1" s="31"/>
      <c r="G1" s="31"/>
    </row>
    <row r="2" spans="1:10" ht="36" customHeight="1" x14ac:dyDescent="0.2">
      <c r="A2" s="30" t="s">
        <v>3</v>
      </c>
      <c r="B2" s="30"/>
      <c r="C2" s="30"/>
      <c r="D2" s="30"/>
      <c r="E2" s="30"/>
      <c r="F2" s="30"/>
      <c r="G2" s="30"/>
    </row>
    <row r="3" spans="1:10" ht="89" customHeight="1" x14ac:dyDescent="0.2">
      <c r="A3" s="5" t="s">
        <v>8</v>
      </c>
      <c r="B3" s="5" t="s">
        <v>9</v>
      </c>
      <c r="C3" s="5" t="s">
        <v>10</v>
      </c>
      <c r="D3" s="5" t="s">
        <v>11</v>
      </c>
      <c r="E3" s="5" t="s">
        <v>12</v>
      </c>
      <c r="F3" s="6" t="s">
        <v>93</v>
      </c>
      <c r="G3" s="5" t="s">
        <v>13</v>
      </c>
    </row>
    <row r="4" spans="1:10" ht="68" x14ac:dyDescent="0.2">
      <c r="A4" s="2" t="s">
        <v>20</v>
      </c>
      <c r="B4" s="2" t="s">
        <v>19</v>
      </c>
      <c r="C4" s="2" t="s">
        <v>14</v>
      </c>
      <c r="D4" s="3" t="s">
        <v>30</v>
      </c>
      <c r="E4" s="3" t="s">
        <v>30</v>
      </c>
      <c r="F4" s="3" t="s">
        <v>33</v>
      </c>
      <c r="G4" s="2" t="s">
        <v>34</v>
      </c>
    </row>
    <row r="5" spans="1:10" ht="85" x14ac:dyDescent="0.2">
      <c r="A5" s="2" t="s">
        <v>24</v>
      </c>
      <c r="B5" s="2" t="s">
        <v>21</v>
      </c>
      <c r="C5" s="2" t="s">
        <v>15</v>
      </c>
      <c r="D5" s="4" t="s">
        <v>29</v>
      </c>
      <c r="E5" s="4" t="s">
        <v>30</v>
      </c>
      <c r="F5" s="4" t="s">
        <v>32</v>
      </c>
      <c r="G5" s="2" t="s">
        <v>35</v>
      </c>
    </row>
    <row r="6" spans="1:10" ht="85" x14ac:dyDescent="0.2">
      <c r="A6" s="2" t="s">
        <v>23</v>
      </c>
      <c r="B6" s="2" t="s">
        <v>22</v>
      </c>
      <c r="C6" s="2" t="s">
        <v>16</v>
      </c>
      <c r="D6" s="4" t="s">
        <v>31</v>
      </c>
      <c r="E6" s="4" t="s">
        <v>32</v>
      </c>
      <c r="F6" s="4" t="s">
        <v>32</v>
      </c>
      <c r="G6" s="2" t="s">
        <v>36</v>
      </c>
    </row>
    <row r="7" spans="1:10" ht="119" x14ac:dyDescent="0.2">
      <c r="A7" s="2" t="s">
        <v>40</v>
      </c>
      <c r="B7" s="19" t="s">
        <v>39</v>
      </c>
      <c r="C7" s="2" t="s">
        <v>37</v>
      </c>
      <c r="D7" s="4" t="s">
        <v>31</v>
      </c>
      <c r="E7" s="4" t="s">
        <v>32</v>
      </c>
      <c r="F7" s="4" t="s">
        <v>32</v>
      </c>
      <c r="G7" s="2" t="s">
        <v>38</v>
      </c>
    </row>
    <row r="8" spans="1:10" ht="102" x14ac:dyDescent="0.2">
      <c r="A8" s="2" t="s">
        <v>26</v>
      </c>
      <c r="B8" s="2" t="s">
        <v>25</v>
      </c>
      <c r="C8" s="2" t="s">
        <v>17</v>
      </c>
      <c r="D8" s="4" t="s">
        <v>31</v>
      </c>
      <c r="E8" s="4" t="s">
        <v>32</v>
      </c>
      <c r="F8" s="4" t="s">
        <v>32</v>
      </c>
      <c r="G8" s="2" t="s">
        <v>41</v>
      </c>
      <c r="J8" s="16"/>
    </row>
    <row r="9" spans="1:10" ht="102" x14ac:dyDescent="0.2">
      <c r="A9" s="2" t="s">
        <v>28</v>
      </c>
      <c r="B9" s="2" t="s">
        <v>27</v>
      </c>
      <c r="C9" s="2" t="s">
        <v>18</v>
      </c>
      <c r="D9" s="4" t="s">
        <v>31</v>
      </c>
      <c r="E9" s="4" t="s">
        <v>32</v>
      </c>
      <c r="F9" s="4" t="s">
        <v>32</v>
      </c>
      <c r="G9" s="2" t="s">
        <v>42</v>
      </c>
    </row>
    <row r="11" spans="1:10" x14ac:dyDescent="0.2">
      <c r="A11" s="24" t="s">
        <v>44</v>
      </c>
    </row>
    <row r="12" spans="1:10" ht="85" x14ac:dyDescent="0.2">
      <c r="A12" s="16" t="s">
        <v>45</v>
      </c>
    </row>
    <row r="13" spans="1:10" x14ac:dyDescent="0.2">
      <c r="A13" s="16"/>
    </row>
    <row r="14" spans="1:10" ht="119" x14ac:dyDescent="0.2">
      <c r="A14" s="16" t="s">
        <v>46</v>
      </c>
    </row>
    <row r="15" spans="1:10" x14ac:dyDescent="0.2">
      <c r="A15" s="16"/>
    </row>
    <row r="16" spans="1:10" ht="119" x14ac:dyDescent="0.2">
      <c r="A16" s="16" t="s">
        <v>47</v>
      </c>
    </row>
    <row r="17" spans="1:1" x14ac:dyDescent="0.2">
      <c r="A17" s="16"/>
    </row>
    <row r="18" spans="1:1" ht="136" x14ac:dyDescent="0.2">
      <c r="A18" s="16" t="s">
        <v>48</v>
      </c>
    </row>
  </sheetData>
  <sheetProtection algorithmName="SHA-512" hashValue="f+6XsJ29Aw8CUrT9QjVxIBfjybtptsjeJw7ryLUaSpm9B37AWNvSXz7Gjsc3gvKJjH32Frs/P2HkGBThV6qhxg==" saltValue="ymQqTdlYvDZnYYZGTeVpMw==" spinCount="100000" sheet="1" objects="1" scenarios="1"/>
  <mergeCells count="2">
    <mergeCell ref="A2:G2"/>
    <mergeCell ref="A1:G1"/>
  </mergeCells>
  <dataValidations count="3">
    <dataValidation type="list" allowBlank="1" showInputMessage="1" showErrorMessage="1" sqref="E8:E9 E4:E6 D4:D6 D8:D9" xr:uid="{F545C2BB-625C-624C-AB47-8DB51C95AD37}">
      <formula1>"High, Medium, Low "</formula1>
    </dataValidation>
    <dataValidation type="list" allowBlank="1" showInputMessage="1" showErrorMessage="1" sqref="F4:F6 F8:F9 F7" xr:uid="{CF2198E0-D7AD-B14F-B4FA-D9ABB7389FC3}">
      <formula1>"Critical, High, Medium, Low "</formula1>
    </dataValidation>
    <dataValidation type="list" allowBlank="1" showInputMessage="1" showErrorMessage="1" sqref="D7:E7" xr:uid="{3F2BA322-A9D6-944C-B46A-4121E35B949E}">
      <formula1>" High, Medium, Low "</formula1>
    </dataValidation>
  </dataValidations>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Project_Overview</vt:lpstr>
      <vt:lpstr>Controls_Assessment</vt:lpstr>
      <vt:lpstr>Control_Look-Up</vt:lpstr>
      <vt:lpstr>RiskRegister &amp; ExecutiveSummary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Seeger, Conor Donahue</dc:creator>
  <cp:lastModifiedBy>Conor Seeger</cp:lastModifiedBy>
  <cp:lastPrinted>2026-03-16T14:40:01Z</cp:lastPrinted>
  <dcterms:created xsi:type="dcterms:W3CDTF">2026-02-27T21:18:33Z</dcterms:created>
  <dcterms:modified xsi:type="dcterms:W3CDTF">2026-03-16T15:04:47Z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2026-02-27T21:25:07Z</vt:lpwstr>
  </property>
  <property fmtid="{D5CDD505-2E9C-101B-9397-08002B2CF9AE}" pid="4" name="MSIP_Label_ae7542bc-63e5-412b-b0a0-d9586028a7d0_Method">
    <vt:lpwstr>Privileged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94101de4-f0af-4f4e-8ccf-368fcec1e86c</vt:lpwstr>
  </property>
  <property fmtid="{D5CDD505-2E9C-101B-9397-08002B2CF9AE}" pid="8" name="MSIP_Label_ae7542bc-63e5-412b-b0a0-d9586028a7d0_ContentBits">
    <vt:lpwstr>0</vt:lpwstr>
  </property>
  <property fmtid="{D5CDD505-2E9C-101B-9397-08002B2CF9AE}" pid="9" name="MSIP_Label_ae7542bc-63e5-412b-b0a0-d9586028a7d0_Tag">
    <vt:lpwstr>50, 0, 1, 1</vt:lpwstr>
  </property>
</Properties>
</file>